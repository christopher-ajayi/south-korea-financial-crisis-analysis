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ifax\Downloads\Summer Assignment 1\Project Data\"/>
    </mc:Choice>
  </mc:AlternateContent>
  <xr:revisionPtr revIDLastSave="0" documentId="8_{84B63308-C4EC-496D-841A-8F2DEA71B514}" xr6:coauthVersionLast="47" xr6:coauthVersionMax="47" xr10:uidLastSave="{00000000-0000-0000-0000-000000000000}"/>
  <bookViews>
    <workbookView xWindow="-110" yWindow="-110" windowWidth="19420" windowHeight="10300" activeTab="1" xr2:uid="{0F3858FF-7D9C-4E46-9769-F487F1B415CC}"/>
  </bookViews>
  <sheets>
    <sheet name="All Quarterly Data" sheetId="14" r:id="rId1"/>
    <sheet name="All Yearly Data" sheetId="1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3" l="1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" i="13"/>
  <c r="H85" i="14"/>
  <c r="G85" i="14"/>
  <c r="F85" i="14"/>
  <c r="H84" i="14"/>
  <c r="G84" i="14"/>
  <c r="F84" i="14"/>
  <c r="H83" i="14"/>
  <c r="G83" i="14"/>
  <c r="F83" i="14"/>
  <c r="H82" i="14"/>
  <c r="G82" i="14"/>
  <c r="F82" i="14"/>
  <c r="H81" i="14"/>
  <c r="G81" i="14"/>
  <c r="F81" i="14"/>
  <c r="H80" i="14"/>
  <c r="G80" i="14"/>
  <c r="F80" i="14"/>
  <c r="H79" i="14"/>
  <c r="G79" i="14"/>
  <c r="F79" i="14"/>
  <c r="H78" i="14"/>
  <c r="G78" i="14"/>
  <c r="F78" i="14"/>
  <c r="H77" i="14"/>
  <c r="G77" i="14"/>
  <c r="F77" i="14"/>
  <c r="H76" i="14"/>
  <c r="G76" i="14"/>
  <c r="F76" i="14"/>
  <c r="H75" i="14"/>
  <c r="G75" i="14"/>
  <c r="F75" i="14"/>
  <c r="H74" i="14"/>
  <c r="G74" i="14"/>
  <c r="F74" i="14"/>
  <c r="H73" i="14"/>
  <c r="G73" i="14"/>
  <c r="F73" i="14"/>
  <c r="H72" i="14"/>
  <c r="G72" i="14"/>
  <c r="F72" i="14"/>
  <c r="H71" i="14"/>
  <c r="G71" i="14"/>
  <c r="F71" i="14"/>
  <c r="H70" i="14"/>
  <c r="G70" i="14"/>
  <c r="F70" i="14"/>
  <c r="H69" i="14"/>
  <c r="G69" i="14"/>
  <c r="F69" i="14"/>
  <c r="H68" i="14"/>
  <c r="G68" i="14"/>
  <c r="F68" i="14"/>
  <c r="H67" i="14"/>
  <c r="G67" i="14"/>
  <c r="F67" i="14"/>
  <c r="H66" i="14"/>
  <c r="G66" i="14"/>
  <c r="F66" i="14"/>
  <c r="H65" i="14"/>
  <c r="G65" i="14"/>
  <c r="F65" i="14"/>
  <c r="H64" i="14"/>
  <c r="G64" i="14"/>
  <c r="F64" i="14"/>
  <c r="H63" i="14"/>
  <c r="G63" i="14"/>
  <c r="F63" i="14"/>
  <c r="H62" i="14"/>
  <c r="G62" i="14"/>
  <c r="F62" i="14"/>
  <c r="H61" i="14"/>
  <c r="G61" i="14"/>
  <c r="F61" i="14"/>
  <c r="H60" i="14"/>
  <c r="G60" i="14"/>
  <c r="F60" i="14"/>
  <c r="H59" i="14"/>
  <c r="G59" i="14"/>
  <c r="F59" i="14"/>
  <c r="H58" i="14"/>
  <c r="G58" i="14"/>
  <c r="F58" i="14"/>
  <c r="H57" i="14"/>
  <c r="G57" i="14"/>
  <c r="F57" i="14"/>
  <c r="H56" i="14"/>
  <c r="G56" i="14"/>
  <c r="F56" i="14"/>
  <c r="H55" i="14"/>
  <c r="G55" i="14"/>
  <c r="F55" i="14"/>
  <c r="H54" i="14"/>
  <c r="G54" i="14"/>
  <c r="F54" i="14"/>
  <c r="H53" i="14"/>
  <c r="G53" i="14"/>
  <c r="F53" i="14"/>
  <c r="H52" i="14"/>
  <c r="G52" i="14"/>
  <c r="F52" i="14"/>
  <c r="H51" i="14"/>
  <c r="G51" i="14"/>
  <c r="F51" i="14"/>
  <c r="H50" i="14"/>
  <c r="G50" i="14"/>
  <c r="F50" i="14"/>
  <c r="H49" i="14"/>
  <c r="G49" i="14"/>
  <c r="F49" i="14"/>
  <c r="H48" i="14"/>
  <c r="G48" i="14"/>
  <c r="F48" i="14"/>
  <c r="H47" i="14"/>
  <c r="G47" i="14"/>
  <c r="F47" i="14"/>
  <c r="H46" i="14"/>
  <c r="G46" i="14"/>
  <c r="F46" i="14"/>
  <c r="H45" i="14"/>
  <c r="G45" i="14"/>
  <c r="F45" i="14"/>
  <c r="H44" i="14"/>
  <c r="G44" i="14"/>
  <c r="F44" i="14"/>
  <c r="H43" i="14"/>
  <c r="G43" i="14"/>
  <c r="F43" i="14"/>
  <c r="H42" i="14"/>
  <c r="G42" i="14"/>
  <c r="F42" i="14"/>
  <c r="H41" i="14"/>
  <c r="G41" i="14"/>
  <c r="F41" i="14"/>
  <c r="H40" i="14"/>
  <c r="G40" i="14"/>
  <c r="F40" i="14"/>
  <c r="H39" i="14"/>
  <c r="G39" i="14"/>
  <c r="F39" i="14"/>
  <c r="H38" i="14"/>
  <c r="G38" i="14"/>
  <c r="F38" i="14"/>
  <c r="H37" i="14"/>
  <c r="G37" i="14"/>
  <c r="F37" i="14"/>
  <c r="H36" i="14"/>
  <c r="G36" i="14"/>
  <c r="F36" i="14"/>
  <c r="H35" i="14"/>
  <c r="G35" i="14"/>
  <c r="F35" i="14"/>
  <c r="H34" i="14"/>
  <c r="G34" i="14"/>
  <c r="F34" i="14"/>
  <c r="H33" i="14"/>
  <c r="G33" i="14"/>
  <c r="F33" i="14"/>
  <c r="H32" i="14"/>
  <c r="G32" i="14"/>
  <c r="F32" i="14"/>
  <c r="H31" i="14"/>
  <c r="G31" i="14"/>
  <c r="F31" i="14"/>
  <c r="H30" i="14"/>
  <c r="G30" i="14"/>
  <c r="F30" i="14"/>
  <c r="H29" i="14"/>
  <c r="G29" i="14"/>
  <c r="F29" i="14"/>
  <c r="H28" i="14"/>
  <c r="G28" i="14"/>
  <c r="F28" i="14"/>
  <c r="H27" i="14"/>
  <c r="G27" i="14"/>
  <c r="F27" i="14"/>
  <c r="H26" i="14"/>
  <c r="G26" i="14"/>
  <c r="F26" i="14"/>
  <c r="H25" i="14"/>
  <c r="G25" i="14"/>
  <c r="F25" i="14"/>
  <c r="H24" i="14"/>
  <c r="G24" i="14"/>
  <c r="F24" i="14"/>
  <c r="H23" i="14"/>
  <c r="G23" i="14"/>
  <c r="F23" i="14"/>
  <c r="H22" i="14"/>
  <c r="G22" i="14"/>
  <c r="F22" i="14"/>
  <c r="H21" i="14"/>
  <c r="G21" i="14"/>
  <c r="F21" i="14"/>
  <c r="H20" i="14"/>
  <c r="G20" i="14"/>
  <c r="F20" i="14"/>
  <c r="H19" i="14"/>
  <c r="G19" i="14"/>
  <c r="F19" i="14"/>
  <c r="H18" i="14"/>
  <c r="G18" i="14"/>
  <c r="F18" i="14"/>
  <c r="H17" i="14"/>
  <c r="G17" i="14"/>
  <c r="F17" i="14"/>
  <c r="H16" i="14"/>
  <c r="G16" i="14"/>
  <c r="F16" i="14"/>
  <c r="H15" i="14"/>
  <c r="G15" i="14"/>
  <c r="F15" i="14"/>
  <c r="H14" i="14"/>
  <c r="G14" i="14"/>
  <c r="F14" i="14"/>
  <c r="H13" i="14"/>
  <c r="G13" i="14"/>
  <c r="F13" i="14"/>
  <c r="H12" i="14"/>
  <c r="G12" i="14"/>
  <c r="F12" i="14"/>
  <c r="H11" i="14"/>
  <c r="G11" i="14"/>
  <c r="F11" i="14"/>
  <c r="H10" i="14"/>
  <c r="G10" i="14"/>
  <c r="F10" i="14"/>
  <c r="H9" i="14"/>
  <c r="G9" i="14"/>
  <c r="F9" i="14"/>
  <c r="H8" i="14"/>
  <c r="G8" i="14"/>
  <c r="F8" i="14"/>
  <c r="H7" i="14"/>
  <c r="G7" i="14"/>
  <c r="F7" i="14"/>
  <c r="H6" i="14"/>
  <c r="G6" i="14"/>
  <c r="F6" i="14"/>
  <c r="H5" i="14"/>
  <c r="G5" i="14"/>
  <c r="F5" i="14"/>
  <c r="H4" i="14"/>
  <c r="G4" i="14"/>
  <c r="F4" i="14"/>
  <c r="H3" i="14"/>
  <c r="G3" i="14"/>
  <c r="F3" i="14"/>
  <c r="H2" i="14"/>
  <c r="G2" i="14"/>
  <c r="F2" i="14"/>
</calcChain>
</file>

<file path=xl/sharedStrings.xml><?xml version="1.0" encoding="utf-8"?>
<sst xmlns="http://schemas.openxmlformats.org/spreadsheetml/2006/main" count="24" uniqueCount="21">
  <si>
    <t>RGDP</t>
  </si>
  <si>
    <t>Observation_date</t>
  </si>
  <si>
    <t>Obervation_date</t>
  </si>
  <si>
    <t>RPCE % of GDP</t>
  </si>
  <si>
    <t>RINV % of GDP</t>
  </si>
  <si>
    <t>RT Bal % of GDP</t>
  </si>
  <si>
    <t>RPFCE_Level</t>
  </si>
  <si>
    <t>RINV_Level</t>
  </si>
  <si>
    <t>RT Bal_Level</t>
  </si>
  <si>
    <t>CA % of GDP</t>
  </si>
  <si>
    <t>REXC_RT</t>
  </si>
  <si>
    <t>LTERM_INT</t>
  </si>
  <si>
    <t>STERM_INT</t>
  </si>
  <si>
    <t>C_BNK_RSEV</t>
  </si>
  <si>
    <t>R_EXP</t>
  </si>
  <si>
    <t>R_IMP</t>
  </si>
  <si>
    <t>CA_LVL_BIL_USD</t>
  </si>
  <si>
    <t>BDGT DEF. % GDP</t>
  </si>
  <si>
    <t>DEBT % of GDP</t>
  </si>
  <si>
    <t>Trad Bal.</t>
  </si>
  <si>
    <t>TRADE BAL % 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</si>
</sst>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/>
    <xf numFmtId="2" fontId="1" fillId="0" borderId="0" xfId="0" applyNumberFormat="1" applyFont="1" applyAlignment="1">
      <alignment horizontal="right"/>
    </xf>
    <xf numFmtId="14" fontId="1" fillId="0" borderId="0" xfId="0" applyNumberFormat="1" applyFont="1" applyAlignment="1"/>
    <xf numFmtId="2" fontId="1" fillId="0" borderId="0" xfId="0" applyNumberFormat="1" applyFont="1" applyAlignment="1"/>
    <xf numFmtId="14" fontId="0" fillId="0" borderId="0" xfId="0" applyNumberFormat="1" applyAlignment="1"/>
    <xf numFmtId="2" fontId="0" fillId="0" borderId="0" xfId="0" applyNumberForma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5374-0686-4B40-8C47-C0BB35BF62BD}">
  <dimension ref="A1:N85"/>
  <sheetViews>
    <sheetView workbookViewId="0">
      <selection activeCell="I34" sqref="I34"/>
    </sheetView>
  </sheetViews>
  <sheetFormatPr defaultRowHeight="14.5" x14ac:dyDescent="0.35"/>
  <cols>
    <col min="1" max="1" width="15.1796875" style="8" bestFit="1" customWidth="1"/>
    <col min="2" max="2" width="12.36328125" style="2" bestFit="1" customWidth="1"/>
    <col min="3" max="4" width="12.36328125" style="9" bestFit="1" customWidth="1"/>
    <col min="5" max="5" width="12" style="9" bestFit="1" customWidth="1"/>
    <col min="6" max="6" width="13.36328125" style="9" bestFit="1" customWidth="1"/>
    <col min="7" max="7" width="13.1796875" style="9" bestFit="1" customWidth="1"/>
    <col min="8" max="8" width="14.1796875" style="9" bestFit="1" customWidth="1"/>
    <col min="9" max="9" width="8.7265625" style="4"/>
    <col min="10" max="10" width="11.26953125" style="4" bestFit="1" customWidth="1"/>
    <col min="11" max="11" width="11.54296875" style="4" bestFit="1" customWidth="1"/>
    <col min="12" max="13" width="8.7265625" style="4"/>
    <col min="14" max="14" width="10.36328125" style="4" bestFit="1" customWidth="1"/>
    <col min="15" max="16384" width="8.7265625" style="4"/>
  </cols>
  <sheetData>
    <row r="1" spans="1:14" x14ac:dyDescent="0.35">
      <c r="A1" s="6" t="s">
        <v>2</v>
      </c>
      <c r="B1" s="5" t="s">
        <v>0</v>
      </c>
      <c r="C1" s="7" t="s">
        <v>6</v>
      </c>
      <c r="D1" s="7" t="s">
        <v>7</v>
      </c>
      <c r="E1" s="7" t="s">
        <v>8</v>
      </c>
      <c r="F1" s="7" t="s">
        <v>3</v>
      </c>
      <c r="G1" s="7" t="s">
        <v>4</v>
      </c>
      <c r="H1" s="7" t="s">
        <v>5</v>
      </c>
      <c r="I1" s="7" t="s">
        <v>10</v>
      </c>
      <c r="J1" s="7" t="s">
        <v>11</v>
      </c>
      <c r="K1" s="7" t="s">
        <v>13</v>
      </c>
      <c r="L1" s="7" t="s">
        <v>14</v>
      </c>
      <c r="M1" s="7" t="s">
        <v>15</v>
      </c>
      <c r="N1" s="7" t="s">
        <v>12</v>
      </c>
    </row>
    <row r="2" spans="1:14" x14ac:dyDescent="0.35">
      <c r="A2" s="8">
        <v>31778</v>
      </c>
      <c r="B2" s="2">
        <v>89176800</v>
      </c>
      <c r="C2" s="9">
        <v>56239200</v>
      </c>
      <c r="D2" s="9">
        <v>26589300</v>
      </c>
      <c r="E2" s="9">
        <v>-1792100</v>
      </c>
      <c r="F2" s="9">
        <f>100*(C2/B2)</f>
        <v>63.064833005893902</v>
      </c>
      <c r="G2" s="9">
        <f>100*(D2/B2)</f>
        <v>29.816387221788627</v>
      </c>
      <c r="H2" s="9">
        <f>100*(E2/B2)</f>
        <v>-2.0096033946048748</v>
      </c>
      <c r="I2" s="2">
        <v>857.83656278609999</v>
      </c>
      <c r="J2" s="1">
        <v>11.833</v>
      </c>
      <c r="K2" s="1">
        <v>3778.3132582152998</v>
      </c>
      <c r="L2" s="4">
        <v>10323700</v>
      </c>
      <c r="M2" s="4">
        <v>12115800</v>
      </c>
    </row>
    <row r="3" spans="1:14" x14ac:dyDescent="0.35">
      <c r="A3" s="8">
        <v>31868</v>
      </c>
      <c r="B3" s="2">
        <v>93998400</v>
      </c>
      <c r="C3" s="9">
        <v>57859200</v>
      </c>
      <c r="D3" s="9">
        <v>28246600</v>
      </c>
      <c r="E3" s="9">
        <v>-1908800</v>
      </c>
      <c r="F3" s="9">
        <f t="shared" ref="F3:F66" si="0">100*(C3/B3)</f>
        <v>61.553388142776896</v>
      </c>
      <c r="G3" s="9">
        <f t="shared" ref="G3:G66" si="1">100*(D3/B3)</f>
        <v>30.050085958909939</v>
      </c>
      <c r="H3" s="9">
        <f t="shared" ref="H3:H66" si="2">100*(E3/B3)</f>
        <v>-2.0306728625168087</v>
      </c>
      <c r="I3" s="2">
        <v>838.41302952729995</v>
      </c>
      <c r="J3" s="1">
        <v>12.467000000000001</v>
      </c>
      <c r="K3" s="1">
        <v>3378.1852319437999</v>
      </c>
      <c r="L3" s="4">
        <v>11713700</v>
      </c>
      <c r="M3" s="4">
        <v>13622500</v>
      </c>
    </row>
    <row r="4" spans="1:14" x14ac:dyDescent="0.35">
      <c r="A4" s="8">
        <v>31959</v>
      </c>
      <c r="B4" s="2">
        <v>95056000</v>
      </c>
      <c r="C4" s="9">
        <v>58754300</v>
      </c>
      <c r="D4" s="9">
        <v>29553700</v>
      </c>
      <c r="E4" s="9">
        <v>-2291300</v>
      </c>
      <c r="F4" s="9">
        <f t="shared" si="0"/>
        <v>61.810196094933509</v>
      </c>
      <c r="G4" s="9">
        <f t="shared" si="1"/>
        <v>31.090830668237668</v>
      </c>
      <c r="H4" s="9">
        <f t="shared" si="2"/>
        <v>-2.4104738259552265</v>
      </c>
      <c r="I4" s="2">
        <v>807.57522028870005</v>
      </c>
      <c r="J4" s="1">
        <v>12.367000000000001</v>
      </c>
      <c r="K4" s="1">
        <v>3403.8775536096</v>
      </c>
      <c r="L4" s="4">
        <v>11335300</v>
      </c>
      <c r="M4" s="4">
        <v>13626600</v>
      </c>
    </row>
    <row r="5" spans="1:14" x14ac:dyDescent="0.35">
      <c r="A5" s="8">
        <v>32051</v>
      </c>
      <c r="B5" s="2">
        <v>96719500</v>
      </c>
      <c r="C5" s="9">
        <v>60396000</v>
      </c>
      <c r="D5" s="9">
        <v>30771100</v>
      </c>
      <c r="E5" s="9">
        <v>-2481500</v>
      </c>
      <c r="F5" s="9">
        <f t="shared" si="0"/>
        <v>62.444491545138256</v>
      </c>
      <c r="G5" s="9">
        <f t="shared" si="1"/>
        <v>31.814783988750978</v>
      </c>
      <c r="H5" s="9">
        <f t="shared" si="2"/>
        <v>-2.5656666959610006</v>
      </c>
      <c r="I5" s="2">
        <v>796.35072104300002</v>
      </c>
      <c r="J5" s="1">
        <v>13.032999999999999</v>
      </c>
      <c r="K5" s="1">
        <v>3889.8118009532</v>
      </c>
      <c r="L5" s="4">
        <v>11718300</v>
      </c>
      <c r="M5" s="4">
        <v>14199800</v>
      </c>
    </row>
    <row r="6" spans="1:14" x14ac:dyDescent="0.35">
      <c r="A6" s="8">
        <v>32143</v>
      </c>
      <c r="B6" s="2">
        <v>104030400</v>
      </c>
      <c r="C6" s="9">
        <v>61443700</v>
      </c>
      <c r="D6" s="9">
        <v>31252700</v>
      </c>
      <c r="E6" s="9">
        <v>-2044200</v>
      </c>
      <c r="F6" s="9">
        <f t="shared" si="0"/>
        <v>59.063216136821538</v>
      </c>
      <c r="G6" s="9">
        <f t="shared" si="1"/>
        <v>30.041891600916653</v>
      </c>
      <c r="H6" s="9">
        <f t="shared" si="2"/>
        <v>-1.9650025377197435</v>
      </c>
      <c r="I6" s="2">
        <v>767.32131454039995</v>
      </c>
      <c r="J6" s="1">
        <v>12.833</v>
      </c>
      <c r="K6" s="1">
        <v>5759.4830145121005</v>
      </c>
      <c r="L6" s="4">
        <v>12445000</v>
      </c>
      <c r="M6" s="4">
        <v>14489200</v>
      </c>
    </row>
    <row r="7" spans="1:14" x14ac:dyDescent="0.35">
      <c r="A7" s="8">
        <v>32234</v>
      </c>
      <c r="B7" s="2">
        <v>102150400</v>
      </c>
      <c r="C7" s="9">
        <v>63029500</v>
      </c>
      <c r="D7" s="9">
        <v>31618400</v>
      </c>
      <c r="E7" s="9">
        <v>-2692000</v>
      </c>
      <c r="F7" s="9">
        <f t="shared" si="0"/>
        <v>61.702646294091842</v>
      </c>
      <c r="G7" s="9">
        <f t="shared" si="1"/>
        <v>30.952791178497584</v>
      </c>
      <c r="H7" s="9">
        <f t="shared" si="2"/>
        <v>-2.6353298665497147</v>
      </c>
      <c r="I7" s="2">
        <v>733.97186022350002</v>
      </c>
      <c r="J7" s="1">
        <v>12.167</v>
      </c>
      <c r="K7" s="1">
        <v>8287.0100010903006</v>
      </c>
      <c r="L7" s="4">
        <v>12212900</v>
      </c>
      <c r="M7" s="4">
        <v>14904900</v>
      </c>
    </row>
    <row r="8" spans="1:14" x14ac:dyDescent="0.35">
      <c r="A8" s="8">
        <v>32325</v>
      </c>
      <c r="B8" s="2">
        <v>105616600</v>
      </c>
      <c r="C8" s="9">
        <v>64769500</v>
      </c>
      <c r="D8" s="9">
        <v>34017700</v>
      </c>
      <c r="E8" s="9">
        <v>-3205400</v>
      </c>
      <c r="F8" s="9">
        <f t="shared" si="0"/>
        <v>61.325113665844199</v>
      </c>
      <c r="G8" s="9">
        <f t="shared" si="1"/>
        <v>32.208667955605463</v>
      </c>
      <c r="H8" s="9">
        <f t="shared" si="2"/>
        <v>-3.0349395833609489</v>
      </c>
      <c r="I8" s="2">
        <v>720.59002694979995</v>
      </c>
      <c r="J8" s="1">
        <v>13.882999999999999</v>
      </c>
      <c r="K8" s="1">
        <v>10657.2909158695</v>
      </c>
      <c r="L8" s="4">
        <v>12508500</v>
      </c>
      <c r="M8" s="4">
        <v>15713900</v>
      </c>
    </row>
    <row r="9" spans="1:14" x14ac:dyDescent="0.35">
      <c r="A9" s="8">
        <v>32417</v>
      </c>
      <c r="B9" s="2">
        <v>108646800</v>
      </c>
      <c r="C9" s="9">
        <v>66396100</v>
      </c>
      <c r="D9" s="9">
        <v>34612300</v>
      </c>
      <c r="E9" s="9">
        <v>-2779800</v>
      </c>
      <c r="F9" s="9">
        <f t="shared" si="0"/>
        <v>61.111878122503384</v>
      </c>
      <c r="G9" s="9">
        <f t="shared" si="1"/>
        <v>31.857634095067688</v>
      </c>
      <c r="H9" s="9">
        <f t="shared" si="2"/>
        <v>-2.558565921867924</v>
      </c>
      <c r="I9" s="2">
        <v>698.16392013150005</v>
      </c>
      <c r="J9" s="1">
        <v>13.266999999999999</v>
      </c>
      <c r="K9" s="1">
        <v>12915.695569752599</v>
      </c>
      <c r="L9" s="4">
        <v>12730000</v>
      </c>
      <c r="M9" s="4">
        <v>15509800</v>
      </c>
    </row>
    <row r="10" spans="1:14" x14ac:dyDescent="0.35">
      <c r="A10" s="8">
        <v>32509</v>
      </c>
      <c r="B10" s="2">
        <v>108617400</v>
      </c>
      <c r="C10" s="9">
        <v>68331400</v>
      </c>
      <c r="D10" s="9">
        <v>34717000</v>
      </c>
      <c r="E10" s="9">
        <v>-4078800</v>
      </c>
      <c r="F10" s="9">
        <f t="shared" si="0"/>
        <v>62.910178295558538</v>
      </c>
      <c r="G10" s="9">
        <f t="shared" si="1"/>
        <v>31.962650551384954</v>
      </c>
      <c r="H10" s="9">
        <f t="shared" si="2"/>
        <v>-3.7551994431831361</v>
      </c>
      <c r="I10" s="2">
        <v>677.67639419</v>
      </c>
      <c r="J10" s="1">
        <v>12.5</v>
      </c>
      <c r="K10" s="1">
        <v>13642.140573803101</v>
      </c>
      <c r="L10" s="4">
        <v>12133000</v>
      </c>
      <c r="M10" s="4">
        <v>16211800</v>
      </c>
    </row>
    <row r="11" spans="1:14" x14ac:dyDescent="0.35">
      <c r="A11" s="8">
        <v>32599</v>
      </c>
      <c r="B11" s="2">
        <v>110439300</v>
      </c>
      <c r="C11" s="9">
        <v>70003300</v>
      </c>
      <c r="D11" s="9">
        <v>36637800</v>
      </c>
      <c r="E11" s="9">
        <v>-5182100</v>
      </c>
      <c r="F11" s="9">
        <f t="shared" si="0"/>
        <v>63.386222114772551</v>
      </c>
      <c r="G11" s="9">
        <f t="shared" si="1"/>
        <v>33.174603605781641</v>
      </c>
      <c r="H11" s="9">
        <f t="shared" si="2"/>
        <v>-4.6922608165752591</v>
      </c>
      <c r="I11" s="2">
        <v>665.38378998580004</v>
      </c>
      <c r="J11" s="1">
        <v>15.9</v>
      </c>
      <c r="K11" s="1">
        <v>15450.0907111384</v>
      </c>
      <c r="L11" s="4">
        <v>11743400</v>
      </c>
      <c r="M11" s="4">
        <v>16925500</v>
      </c>
    </row>
    <row r="12" spans="1:14" x14ac:dyDescent="0.35">
      <c r="A12" s="8">
        <v>32690</v>
      </c>
      <c r="B12" s="2">
        <v>113588100</v>
      </c>
      <c r="C12" s="9">
        <v>71748000</v>
      </c>
      <c r="D12" s="9">
        <v>39829200</v>
      </c>
      <c r="E12" s="9">
        <v>-6282700</v>
      </c>
      <c r="F12" s="9">
        <f t="shared" si="0"/>
        <v>63.165067467454769</v>
      </c>
      <c r="G12" s="9">
        <f t="shared" si="1"/>
        <v>35.064588632083819</v>
      </c>
      <c r="H12" s="9">
        <f t="shared" si="2"/>
        <v>-5.5311251794862315</v>
      </c>
      <c r="I12" s="2">
        <v>661.08354611569996</v>
      </c>
      <c r="J12" s="1">
        <v>15.632999999999999</v>
      </c>
      <c r="K12" s="1">
        <v>16117.6726932848</v>
      </c>
      <c r="L12" s="4">
        <v>11929300</v>
      </c>
      <c r="M12" s="4">
        <v>18212000</v>
      </c>
    </row>
    <row r="13" spans="1:14" x14ac:dyDescent="0.35">
      <c r="A13" s="8">
        <v>32782</v>
      </c>
      <c r="B13" s="2">
        <v>117924200</v>
      </c>
      <c r="C13" s="9">
        <v>73661400</v>
      </c>
      <c r="D13" s="9">
        <v>41711100</v>
      </c>
      <c r="E13" s="9">
        <v>-6648100</v>
      </c>
      <c r="F13" s="9">
        <f t="shared" si="0"/>
        <v>62.465041102674434</v>
      </c>
      <c r="G13" s="9">
        <f t="shared" si="1"/>
        <v>35.371111273173781</v>
      </c>
      <c r="H13" s="9">
        <f t="shared" si="2"/>
        <v>-5.6376044950909145</v>
      </c>
      <c r="I13" s="2">
        <v>672.53076103260003</v>
      </c>
      <c r="J13" s="1">
        <v>14.933</v>
      </c>
      <c r="K13" s="1">
        <v>16657.608262526399</v>
      </c>
      <c r="L13" s="4">
        <v>12245300</v>
      </c>
      <c r="M13" s="4">
        <v>18893400</v>
      </c>
    </row>
    <row r="14" spans="1:14" x14ac:dyDescent="0.35">
      <c r="A14" s="8">
        <v>32874</v>
      </c>
      <c r="B14" s="2">
        <v>119159600</v>
      </c>
      <c r="C14" s="9">
        <v>75580400</v>
      </c>
      <c r="D14" s="9">
        <v>44611300</v>
      </c>
      <c r="E14" s="9">
        <v>-6727800</v>
      </c>
      <c r="F14" s="9">
        <f t="shared" si="0"/>
        <v>63.427873205348121</v>
      </c>
      <c r="G14" s="9">
        <f t="shared" si="1"/>
        <v>37.438276060006913</v>
      </c>
      <c r="H14" s="9">
        <f t="shared" si="2"/>
        <v>-5.6460411078922723</v>
      </c>
      <c r="I14" s="2">
        <v>691.96318146700003</v>
      </c>
      <c r="J14" s="1">
        <v>14.333</v>
      </c>
      <c r="K14" s="1">
        <v>13831.430474250399</v>
      </c>
      <c r="L14" s="4">
        <v>12247900</v>
      </c>
      <c r="M14" s="4">
        <v>18975700</v>
      </c>
    </row>
    <row r="15" spans="1:14" x14ac:dyDescent="0.35">
      <c r="A15" s="8">
        <v>32964</v>
      </c>
      <c r="B15" s="2">
        <v>121845800</v>
      </c>
      <c r="C15" s="9">
        <v>77239400</v>
      </c>
      <c r="D15" s="9">
        <v>46103600</v>
      </c>
      <c r="E15" s="9">
        <v>-7120200</v>
      </c>
      <c r="F15" s="9">
        <f t="shared" si="0"/>
        <v>63.391105807504246</v>
      </c>
      <c r="G15" s="9">
        <f t="shared" si="1"/>
        <v>37.837660387145064</v>
      </c>
      <c r="H15" s="9">
        <f t="shared" si="2"/>
        <v>-5.8436154549438717</v>
      </c>
      <c r="I15" s="2">
        <v>710.20578399440001</v>
      </c>
      <c r="J15" s="1">
        <v>14.7</v>
      </c>
      <c r="K15" s="1">
        <v>14631.357363601501</v>
      </c>
      <c r="L15" s="4">
        <v>12374600</v>
      </c>
      <c r="M15" s="4">
        <v>19494800</v>
      </c>
    </row>
    <row r="16" spans="1:14" x14ac:dyDescent="0.35">
      <c r="A16" s="8">
        <v>33055</v>
      </c>
      <c r="B16" s="2">
        <v>126163700</v>
      </c>
      <c r="C16" s="9">
        <v>78875700</v>
      </c>
      <c r="D16" s="9">
        <v>49498700</v>
      </c>
      <c r="E16" s="9">
        <v>-7152100</v>
      </c>
      <c r="F16" s="9">
        <f t="shared" si="0"/>
        <v>62.518537423997557</v>
      </c>
      <c r="G16" s="9">
        <f t="shared" si="1"/>
        <v>39.233709854736347</v>
      </c>
      <c r="H16" s="9">
        <f t="shared" si="2"/>
        <v>-5.6689047642071371</v>
      </c>
      <c r="I16" s="2">
        <v>715.38265934850006</v>
      </c>
      <c r="J16" s="1">
        <v>14.967000000000001</v>
      </c>
      <c r="K16" s="1">
        <v>15766.659797284001</v>
      </c>
      <c r="L16" s="4">
        <v>12967300</v>
      </c>
      <c r="M16" s="4">
        <v>20119400</v>
      </c>
    </row>
    <row r="17" spans="1:14" x14ac:dyDescent="0.35">
      <c r="A17" s="8">
        <v>33147</v>
      </c>
      <c r="B17" s="2">
        <v>128569200</v>
      </c>
      <c r="C17" s="9">
        <v>80593100</v>
      </c>
      <c r="D17" s="9">
        <v>50299300</v>
      </c>
      <c r="E17" s="9">
        <v>-8124100</v>
      </c>
      <c r="F17" s="9">
        <f t="shared" si="0"/>
        <v>62.684608755440649</v>
      </c>
      <c r="G17" s="9">
        <f t="shared" si="1"/>
        <v>39.122355898613357</v>
      </c>
      <c r="H17" s="9">
        <f t="shared" si="2"/>
        <v>-6.3188539712466127</v>
      </c>
      <c r="I17" s="2">
        <v>714.42885534640004</v>
      </c>
      <c r="J17" s="1">
        <v>16.100000000000001</v>
      </c>
      <c r="K17" s="1">
        <v>15676.9837620792</v>
      </c>
      <c r="L17" s="4">
        <v>12933500</v>
      </c>
      <c r="M17" s="4">
        <v>21057600</v>
      </c>
    </row>
    <row r="18" spans="1:14" x14ac:dyDescent="0.35">
      <c r="A18" s="8">
        <v>33239</v>
      </c>
      <c r="B18" s="2">
        <v>133273100</v>
      </c>
      <c r="C18" s="9">
        <v>81928700</v>
      </c>
      <c r="D18" s="9">
        <v>52226600</v>
      </c>
      <c r="E18" s="9">
        <v>-8785500</v>
      </c>
      <c r="F18" s="9">
        <f t="shared" si="0"/>
        <v>61.47429601322397</v>
      </c>
      <c r="G18" s="9">
        <f t="shared" si="1"/>
        <v>39.187653022252803</v>
      </c>
      <c r="H18" s="9">
        <f t="shared" si="2"/>
        <v>-6.5921029825223547</v>
      </c>
      <c r="I18" s="2">
        <v>721.50318233580003</v>
      </c>
      <c r="J18" s="1">
        <v>16</v>
      </c>
      <c r="K18" s="1">
        <v>13857.431764306501</v>
      </c>
      <c r="L18" s="4">
        <v>13551600</v>
      </c>
      <c r="M18" s="4">
        <v>22337100</v>
      </c>
      <c r="N18" s="1">
        <v>17.266666666700001</v>
      </c>
    </row>
    <row r="19" spans="1:14" x14ac:dyDescent="0.35">
      <c r="A19" s="8">
        <v>33329</v>
      </c>
      <c r="B19" s="2">
        <v>135544500</v>
      </c>
      <c r="C19" s="9">
        <v>84012000</v>
      </c>
      <c r="D19" s="9">
        <v>54504700</v>
      </c>
      <c r="E19" s="9">
        <v>-9133900</v>
      </c>
      <c r="F19" s="9">
        <f t="shared" si="0"/>
        <v>61.981120591392489</v>
      </c>
      <c r="G19" s="9">
        <f t="shared" si="1"/>
        <v>40.211664803809825</v>
      </c>
      <c r="H19" s="9">
        <f t="shared" si="2"/>
        <v>-6.7386725392767683</v>
      </c>
      <c r="I19" s="2">
        <v>725.14563395239998</v>
      </c>
      <c r="J19" s="1">
        <v>16.3</v>
      </c>
      <c r="K19" s="1">
        <v>13392.6309215047</v>
      </c>
      <c r="L19" s="4">
        <v>14283600</v>
      </c>
      <c r="M19" s="4">
        <v>23417500</v>
      </c>
      <c r="N19" s="1">
        <v>18.893333333299999</v>
      </c>
    </row>
    <row r="20" spans="1:14" x14ac:dyDescent="0.35">
      <c r="A20" s="8">
        <v>33420</v>
      </c>
      <c r="B20" s="2">
        <v>138631000</v>
      </c>
      <c r="C20" s="9">
        <v>86528000</v>
      </c>
      <c r="D20" s="9">
        <v>54385400</v>
      </c>
      <c r="E20" s="9">
        <v>-10984700</v>
      </c>
      <c r="F20" s="9">
        <f t="shared" si="0"/>
        <v>62.416054129307298</v>
      </c>
      <c r="G20" s="9">
        <f t="shared" si="1"/>
        <v>39.230330878374971</v>
      </c>
      <c r="H20" s="9">
        <f t="shared" si="2"/>
        <v>-7.9236967200698256</v>
      </c>
      <c r="I20" s="2">
        <v>733.22012860760003</v>
      </c>
      <c r="J20" s="1">
        <v>16.632999999999999</v>
      </c>
      <c r="K20" s="1">
        <v>13633.807546980301</v>
      </c>
      <c r="L20" s="4">
        <v>13668300</v>
      </c>
      <c r="M20" s="4">
        <v>24653000</v>
      </c>
      <c r="N20" s="1">
        <v>18.616666666699999</v>
      </c>
    </row>
    <row r="21" spans="1:14" x14ac:dyDescent="0.35">
      <c r="A21" s="8">
        <v>33512</v>
      </c>
      <c r="B21" s="2">
        <v>142201000</v>
      </c>
      <c r="C21" s="9">
        <v>88240100</v>
      </c>
      <c r="D21" s="9">
        <v>56960200</v>
      </c>
      <c r="E21" s="9">
        <v>-9933200</v>
      </c>
      <c r="F21" s="9">
        <f t="shared" si="0"/>
        <v>62.053079795500729</v>
      </c>
      <c r="G21" s="9">
        <f t="shared" si="1"/>
        <v>40.056117748820327</v>
      </c>
      <c r="H21" s="9">
        <f t="shared" si="2"/>
        <v>-6.985323591254633</v>
      </c>
      <c r="I21" s="2">
        <v>753.04828464419995</v>
      </c>
      <c r="J21" s="1">
        <v>16.899999999999999</v>
      </c>
      <c r="K21" s="1">
        <v>13610.700099519599</v>
      </c>
      <c r="L21" s="4">
        <v>15216300</v>
      </c>
      <c r="M21" s="4">
        <v>25149500</v>
      </c>
      <c r="N21" s="1">
        <v>18.426666666700001</v>
      </c>
    </row>
    <row r="22" spans="1:14" x14ac:dyDescent="0.35">
      <c r="A22" s="8">
        <v>33604</v>
      </c>
      <c r="B22" s="2">
        <v>144661600</v>
      </c>
      <c r="C22" s="9">
        <v>89143400</v>
      </c>
      <c r="D22" s="9">
        <v>58372400</v>
      </c>
      <c r="E22" s="9">
        <v>-10042000</v>
      </c>
      <c r="F22" s="9">
        <f t="shared" si="0"/>
        <v>61.622019941712246</v>
      </c>
      <c r="G22" s="9">
        <f t="shared" si="1"/>
        <v>40.350998468149115</v>
      </c>
      <c r="H22" s="9">
        <f t="shared" si="2"/>
        <v>-6.941717774447401</v>
      </c>
      <c r="I22" s="2">
        <v>764.93671267490004</v>
      </c>
      <c r="J22" s="1">
        <v>16.367000000000001</v>
      </c>
      <c r="K22" s="1">
        <v>14299.2016880461</v>
      </c>
      <c r="L22" s="4">
        <v>15258800</v>
      </c>
      <c r="M22" s="4">
        <v>25300800</v>
      </c>
      <c r="N22" s="1">
        <v>16.836666666700001</v>
      </c>
    </row>
    <row r="23" spans="1:14" x14ac:dyDescent="0.35">
      <c r="A23" s="8">
        <v>33695</v>
      </c>
      <c r="B23" s="2">
        <v>145750700</v>
      </c>
      <c r="C23" s="9">
        <v>90680500</v>
      </c>
      <c r="D23" s="9">
        <v>56108800</v>
      </c>
      <c r="E23" s="9">
        <v>-9529400</v>
      </c>
      <c r="F23" s="9">
        <f t="shared" si="0"/>
        <v>62.216167743962799</v>
      </c>
      <c r="G23" s="9">
        <f t="shared" si="1"/>
        <v>38.49641888512371</v>
      </c>
      <c r="H23" s="9">
        <f t="shared" si="2"/>
        <v>-6.5381504171163503</v>
      </c>
      <c r="I23" s="2">
        <v>782.93213080600003</v>
      </c>
      <c r="J23" s="1">
        <v>16.132999999999999</v>
      </c>
      <c r="K23" s="1">
        <v>14949.2921885459</v>
      </c>
      <c r="L23" s="4">
        <v>15637900</v>
      </c>
      <c r="M23" s="4">
        <v>25167300</v>
      </c>
      <c r="N23" s="1">
        <v>17.3766666667</v>
      </c>
    </row>
    <row r="24" spans="1:14" x14ac:dyDescent="0.35">
      <c r="A24" s="8">
        <v>33786</v>
      </c>
      <c r="B24" s="2">
        <v>145926100</v>
      </c>
      <c r="C24" s="9">
        <v>91699500</v>
      </c>
      <c r="D24" s="9">
        <v>53886600</v>
      </c>
      <c r="E24" s="9">
        <v>-8249900</v>
      </c>
      <c r="F24" s="9">
        <f t="shared" si="0"/>
        <v>62.839683922204458</v>
      </c>
      <c r="G24" s="9">
        <f t="shared" si="1"/>
        <v>36.927321431875448</v>
      </c>
      <c r="H24" s="9">
        <f t="shared" si="2"/>
        <v>-5.6534780275769716</v>
      </c>
      <c r="I24" s="2">
        <v>787.0518038742</v>
      </c>
      <c r="J24" s="1">
        <v>14.833</v>
      </c>
      <c r="K24" s="1">
        <v>15523.567706677301</v>
      </c>
      <c r="L24" s="4">
        <v>16083100</v>
      </c>
      <c r="M24" s="4">
        <v>24333000</v>
      </c>
      <c r="N24" s="1">
        <v>17.0333333333</v>
      </c>
    </row>
    <row r="25" spans="1:14" x14ac:dyDescent="0.35">
      <c r="A25" s="8">
        <v>33878</v>
      </c>
      <c r="B25" s="2">
        <v>148222700</v>
      </c>
      <c r="C25" s="9">
        <v>93647200</v>
      </c>
      <c r="D25" s="9">
        <v>54980300</v>
      </c>
      <c r="E25" s="9">
        <v>-8568600</v>
      </c>
      <c r="F25" s="9">
        <f t="shared" si="0"/>
        <v>63.180066211180872</v>
      </c>
      <c r="G25" s="9">
        <f t="shared" si="1"/>
        <v>37.093036356779358</v>
      </c>
      <c r="H25" s="9">
        <f t="shared" si="2"/>
        <v>-5.7808959086563663</v>
      </c>
      <c r="I25" s="2">
        <v>785.12842765660002</v>
      </c>
      <c r="J25" s="1">
        <v>13</v>
      </c>
      <c r="K25" s="1">
        <v>16521.5360912369</v>
      </c>
      <c r="L25" s="4">
        <v>16626400</v>
      </c>
      <c r="M25" s="4">
        <v>25195000</v>
      </c>
      <c r="N25" s="1">
        <v>14.403333333300001</v>
      </c>
    </row>
    <row r="26" spans="1:14" x14ac:dyDescent="0.35">
      <c r="A26" s="8">
        <v>33970</v>
      </c>
      <c r="B26" s="2">
        <v>151302000</v>
      </c>
      <c r="C26" s="9">
        <v>95452900</v>
      </c>
      <c r="D26" s="9">
        <v>57565600</v>
      </c>
      <c r="E26" s="9">
        <v>-8708800</v>
      </c>
      <c r="F26" s="9">
        <f t="shared" si="0"/>
        <v>63.087665728146355</v>
      </c>
      <c r="G26" s="9">
        <f t="shared" si="1"/>
        <v>38.046820266751261</v>
      </c>
      <c r="H26" s="9">
        <f t="shared" si="2"/>
        <v>-5.7559054077275915</v>
      </c>
      <c r="I26" s="2">
        <v>793.79533838040004</v>
      </c>
      <c r="J26" s="1">
        <v>12.212999999999999</v>
      </c>
      <c r="K26" s="1">
        <v>18168.873938050401</v>
      </c>
      <c r="L26" s="4">
        <v>16683900</v>
      </c>
      <c r="M26" s="4">
        <v>25392700</v>
      </c>
      <c r="N26" s="1">
        <v>12.7033333333</v>
      </c>
    </row>
    <row r="27" spans="1:14" x14ac:dyDescent="0.35">
      <c r="A27" s="8">
        <v>34060</v>
      </c>
      <c r="B27" s="2">
        <v>155120800</v>
      </c>
      <c r="C27" s="9">
        <v>96496800</v>
      </c>
      <c r="D27" s="9">
        <v>60186800</v>
      </c>
      <c r="E27" s="9">
        <v>-8959500</v>
      </c>
      <c r="F27" s="9">
        <f t="shared" si="0"/>
        <v>62.207518269632445</v>
      </c>
      <c r="G27" s="9">
        <f t="shared" si="1"/>
        <v>38.799954616015391</v>
      </c>
      <c r="H27" s="9">
        <f t="shared" si="2"/>
        <v>-5.77582116647155</v>
      </c>
      <c r="I27" s="2">
        <v>799.19441974009999</v>
      </c>
      <c r="J27" s="1">
        <v>11.4</v>
      </c>
      <c r="K27" s="1">
        <v>19063.3404600414</v>
      </c>
      <c r="L27" s="4">
        <v>17067500</v>
      </c>
      <c r="M27" s="4">
        <v>26027000</v>
      </c>
      <c r="N27" s="1">
        <v>11.846666666699999</v>
      </c>
    </row>
    <row r="28" spans="1:14" x14ac:dyDescent="0.35">
      <c r="A28" s="8">
        <v>34151</v>
      </c>
      <c r="B28" s="2">
        <v>157958300</v>
      </c>
      <c r="C28" s="9">
        <v>98420600</v>
      </c>
      <c r="D28" s="9">
        <v>61026700</v>
      </c>
      <c r="E28" s="9">
        <v>-9171200</v>
      </c>
      <c r="F28" s="9">
        <f t="shared" si="0"/>
        <v>62.307963557470543</v>
      </c>
      <c r="G28" s="9">
        <f t="shared" si="1"/>
        <v>38.634690294843637</v>
      </c>
      <c r="H28" s="9">
        <f t="shared" si="2"/>
        <v>-5.8060893286392679</v>
      </c>
      <c r="I28" s="2">
        <v>807.86742331820005</v>
      </c>
      <c r="J28" s="1">
        <v>12.483000000000001</v>
      </c>
      <c r="K28" s="1">
        <v>19116.654527335701</v>
      </c>
      <c r="L28" s="4">
        <v>17932100</v>
      </c>
      <c r="M28" s="4">
        <v>27103300</v>
      </c>
      <c r="N28" s="1">
        <v>14.276666666700001</v>
      </c>
    </row>
    <row r="29" spans="1:14" x14ac:dyDescent="0.35">
      <c r="A29" s="8">
        <v>34243</v>
      </c>
      <c r="B29" s="2">
        <v>161068400</v>
      </c>
      <c r="C29" s="9">
        <v>100851000</v>
      </c>
      <c r="D29" s="9">
        <v>62576600</v>
      </c>
      <c r="E29" s="9">
        <v>-10171300</v>
      </c>
      <c r="F29" s="9">
        <f t="shared" si="0"/>
        <v>62.613771540538053</v>
      </c>
      <c r="G29" s="9">
        <f t="shared" si="1"/>
        <v>38.850947796091603</v>
      </c>
      <c r="H29" s="9">
        <f t="shared" si="2"/>
        <v>-6.3148947900395118</v>
      </c>
      <c r="I29" s="2">
        <v>808.88708020779995</v>
      </c>
      <c r="J29" s="1">
        <v>12.227</v>
      </c>
      <c r="K29" s="1">
        <v>20540.182953361498</v>
      </c>
      <c r="L29" s="4">
        <v>18352700</v>
      </c>
      <c r="M29" s="4">
        <v>28524000</v>
      </c>
      <c r="N29" s="1">
        <v>13.02</v>
      </c>
    </row>
    <row r="30" spans="1:14" x14ac:dyDescent="0.35">
      <c r="A30" s="8">
        <v>34335</v>
      </c>
      <c r="B30" s="2">
        <v>165850700</v>
      </c>
      <c r="C30" s="9">
        <v>103840000</v>
      </c>
      <c r="D30" s="9">
        <v>66022500</v>
      </c>
      <c r="E30" s="9">
        <v>-11570400</v>
      </c>
      <c r="F30" s="9">
        <f t="shared" si="0"/>
        <v>62.610528626047405</v>
      </c>
      <c r="G30" s="9">
        <f t="shared" si="1"/>
        <v>39.808393935027105</v>
      </c>
      <c r="H30" s="9">
        <f t="shared" si="2"/>
        <v>-6.9763950348114294</v>
      </c>
      <c r="I30" s="2">
        <v>809.20891290199995</v>
      </c>
      <c r="J30" s="1">
        <v>11.967000000000001</v>
      </c>
      <c r="K30" s="1">
        <v>20647.9571172795</v>
      </c>
      <c r="L30" s="4">
        <v>19065400</v>
      </c>
      <c r="M30" s="4">
        <v>30635800</v>
      </c>
      <c r="N30" s="1">
        <v>12</v>
      </c>
    </row>
    <row r="31" spans="1:14" x14ac:dyDescent="0.35">
      <c r="A31" s="8">
        <v>34425</v>
      </c>
      <c r="B31" s="2">
        <v>168612400</v>
      </c>
      <c r="C31" s="9">
        <v>105562100</v>
      </c>
      <c r="D31" s="9">
        <v>67069300</v>
      </c>
      <c r="E31" s="9">
        <v>-11929100</v>
      </c>
      <c r="F31" s="9">
        <f t="shared" si="0"/>
        <v>62.606368214911832</v>
      </c>
      <c r="G31" s="9">
        <f t="shared" si="1"/>
        <v>39.77720499797168</v>
      </c>
      <c r="H31" s="9">
        <f t="shared" si="2"/>
        <v>-7.0748651937817151</v>
      </c>
      <c r="I31" s="2">
        <v>808.35227115609996</v>
      </c>
      <c r="J31" s="1">
        <v>12</v>
      </c>
      <c r="K31" s="1">
        <v>21345.1370990539</v>
      </c>
      <c r="L31" s="4">
        <v>20154500</v>
      </c>
      <c r="M31" s="4">
        <v>32083600</v>
      </c>
      <c r="N31" s="1">
        <v>12.446666666700001</v>
      </c>
    </row>
    <row r="32" spans="1:14" x14ac:dyDescent="0.35">
      <c r="A32" s="8">
        <v>34516</v>
      </c>
      <c r="B32" s="2">
        <v>171330800</v>
      </c>
      <c r="C32" s="9">
        <v>107719600</v>
      </c>
      <c r="D32" s="9">
        <v>69014600</v>
      </c>
      <c r="E32" s="9">
        <v>-12777300</v>
      </c>
      <c r="F32" s="9">
        <f t="shared" si="0"/>
        <v>62.872291496917079</v>
      </c>
      <c r="G32" s="9">
        <f t="shared" si="1"/>
        <v>40.281490543439944</v>
      </c>
      <c r="H32" s="9">
        <f t="shared" si="2"/>
        <v>-7.4576783625594461</v>
      </c>
      <c r="I32" s="2">
        <v>803.90094361210004</v>
      </c>
      <c r="J32" s="1">
        <v>12.2</v>
      </c>
      <c r="K32" s="1">
        <v>21950.777430409598</v>
      </c>
      <c r="L32" s="4">
        <v>21328600</v>
      </c>
      <c r="M32" s="4">
        <v>34105900</v>
      </c>
      <c r="N32" s="1">
        <v>14.29</v>
      </c>
    </row>
    <row r="33" spans="1:14" x14ac:dyDescent="0.35">
      <c r="A33" s="8">
        <v>34608</v>
      </c>
      <c r="B33" s="2">
        <v>178271700</v>
      </c>
      <c r="C33" s="9">
        <v>111006300</v>
      </c>
      <c r="D33" s="9">
        <v>73909200</v>
      </c>
      <c r="E33" s="9">
        <v>-14637700</v>
      </c>
      <c r="F33" s="9">
        <f t="shared" si="0"/>
        <v>62.268043665932396</v>
      </c>
      <c r="G33" s="9">
        <f t="shared" si="1"/>
        <v>41.458739665353498</v>
      </c>
      <c r="H33" s="9">
        <f t="shared" si="2"/>
        <v>-8.2108938210607754</v>
      </c>
      <c r="I33" s="2">
        <v>795.61094319480003</v>
      </c>
      <c r="J33" s="1">
        <v>13.032999999999999</v>
      </c>
      <c r="K33" s="1">
        <v>24436.340625873101</v>
      </c>
      <c r="L33" s="4">
        <v>23167700</v>
      </c>
      <c r="M33" s="4">
        <v>37805400</v>
      </c>
      <c r="N33" s="1">
        <v>14.413333333300001</v>
      </c>
    </row>
    <row r="34" spans="1:14" x14ac:dyDescent="0.35">
      <c r="A34" s="8">
        <v>34700</v>
      </c>
      <c r="B34" s="2">
        <v>182209400</v>
      </c>
      <c r="C34" s="9">
        <v>114975400</v>
      </c>
      <c r="D34" s="9">
        <v>76189900</v>
      </c>
      <c r="E34" s="9">
        <v>-15005300</v>
      </c>
      <c r="F34" s="9">
        <f t="shared" si="0"/>
        <v>63.100696231917787</v>
      </c>
      <c r="G34" s="9">
        <f t="shared" si="1"/>
        <v>41.814472798878654</v>
      </c>
      <c r="H34" s="9">
        <f t="shared" si="2"/>
        <v>-8.2351953302079917</v>
      </c>
      <c r="I34" s="2">
        <v>787.37941983910002</v>
      </c>
      <c r="J34" s="1">
        <v>14.032999999999999</v>
      </c>
      <c r="K34" s="1">
        <v>26383.4784825303</v>
      </c>
      <c r="L34" s="4">
        <v>24423000</v>
      </c>
      <c r="M34" s="4">
        <v>39428300</v>
      </c>
      <c r="N34" s="1">
        <v>15.9</v>
      </c>
    </row>
    <row r="35" spans="1:14" x14ac:dyDescent="0.35">
      <c r="A35" s="8">
        <v>34790</v>
      </c>
      <c r="B35" s="2">
        <v>185683600</v>
      </c>
      <c r="C35" s="9">
        <v>117547200</v>
      </c>
      <c r="D35" s="9">
        <v>77110400</v>
      </c>
      <c r="E35" s="9">
        <v>-15519200</v>
      </c>
      <c r="F35" s="9">
        <f t="shared" si="0"/>
        <v>63.305106105224155</v>
      </c>
      <c r="G35" s="9">
        <f t="shared" si="1"/>
        <v>41.527846293372164</v>
      </c>
      <c r="H35" s="9">
        <f t="shared" si="2"/>
        <v>-8.3578732855244091</v>
      </c>
      <c r="I35" s="2">
        <v>763.13023291130003</v>
      </c>
      <c r="J35" s="1">
        <v>13.4</v>
      </c>
      <c r="K35" s="1">
        <v>27553.65611077</v>
      </c>
      <c r="L35" s="4">
        <v>25781600</v>
      </c>
      <c r="M35" s="4">
        <v>41300800</v>
      </c>
      <c r="N35" s="1">
        <v>14.72</v>
      </c>
    </row>
    <row r="36" spans="1:14" x14ac:dyDescent="0.35">
      <c r="A36" s="8">
        <v>34881</v>
      </c>
      <c r="B36" s="2">
        <v>189589100</v>
      </c>
      <c r="C36" s="9">
        <v>119632000</v>
      </c>
      <c r="D36" s="9">
        <v>79484900</v>
      </c>
      <c r="E36" s="9">
        <v>-15919100</v>
      </c>
      <c r="F36" s="9">
        <f t="shared" si="0"/>
        <v>63.100674036640292</v>
      </c>
      <c r="G36" s="9">
        <f t="shared" si="1"/>
        <v>41.924825847055551</v>
      </c>
      <c r="H36" s="9">
        <f t="shared" si="2"/>
        <v>-8.3966325068266059</v>
      </c>
      <c r="I36" s="2">
        <v>765.80476605950003</v>
      </c>
      <c r="J36" s="1">
        <v>12.032999999999999</v>
      </c>
      <c r="K36" s="1">
        <v>31072.359149395001</v>
      </c>
      <c r="L36" s="4">
        <v>26581100</v>
      </c>
      <c r="M36" s="4">
        <v>42500200</v>
      </c>
      <c r="N36" s="1">
        <v>13.596666666699999</v>
      </c>
    </row>
    <row r="37" spans="1:14" x14ac:dyDescent="0.35">
      <c r="A37" s="8">
        <v>34973</v>
      </c>
      <c r="B37" s="2">
        <v>193183400</v>
      </c>
      <c r="C37" s="9">
        <v>122509800</v>
      </c>
      <c r="D37" s="9">
        <v>79182500</v>
      </c>
      <c r="E37" s="9">
        <v>-15635500</v>
      </c>
      <c r="F37" s="9">
        <f t="shared" si="0"/>
        <v>63.416318379322448</v>
      </c>
      <c r="G37" s="9">
        <f t="shared" si="1"/>
        <v>40.988252613837425</v>
      </c>
      <c r="H37" s="9">
        <f t="shared" si="2"/>
        <v>-8.0936043158987783</v>
      </c>
      <c r="I37" s="2">
        <v>769.27754565019995</v>
      </c>
      <c r="J37" s="1">
        <v>10.132999999999999</v>
      </c>
      <c r="K37" s="1">
        <v>32666.384518549101</v>
      </c>
      <c r="L37" s="4">
        <v>27044500</v>
      </c>
      <c r="M37" s="4">
        <v>42680000</v>
      </c>
      <c r="N37" s="1">
        <v>12</v>
      </c>
    </row>
    <row r="38" spans="1:14" x14ac:dyDescent="0.35">
      <c r="A38" s="8">
        <v>35065</v>
      </c>
      <c r="B38" s="2">
        <v>197063400</v>
      </c>
      <c r="C38" s="9">
        <v>124752300</v>
      </c>
      <c r="D38" s="9">
        <v>82720000</v>
      </c>
      <c r="E38" s="9">
        <v>-16475300</v>
      </c>
      <c r="F38" s="9">
        <f t="shared" si="0"/>
        <v>63.305667110178753</v>
      </c>
      <c r="G38" s="9">
        <f t="shared" si="1"/>
        <v>41.976338579360757</v>
      </c>
      <c r="H38" s="9">
        <f t="shared" si="2"/>
        <v>-8.3604058389330529</v>
      </c>
      <c r="I38" s="2">
        <v>782.50829263230003</v>
      </c>
      <c r="J38" s="1">
        <v>10.5</v>
      </c>
      <c r="K38" s="1">
        <v>33908.2440947992</v>
      </c>
      <c r="L38" s="4">
        <v>28716500</v>
      </c>
      <c r="M38" s="4">
        <v>45191800</v>
      </c>
      <c r="N38" s="1">
        <v>11.6233333333</v>
      </c>
    </row>
    <row r="39" spans="1:14" x14ac:dyDescent="0.35">
      <c r="A39" s="8">
        <v>35156</v>
      </c>
      <c r="B39" s="2">
        <v>200858600</v>
      </c>
      <c r="C39" s="9">
        <v>127296900</v>
      </c>
      <c r="D39" s="9">
        <v>81850200</v>
      </c>
      <c r="E39" s="9">
        <v>-19139400</v>
      </c>
      <c r="F39" s="9">
        <f t="shared" si="0"/>
        <v>63.376375221175493</v>
      </c>
      <c r="G39" s="9">
        <f t="shared" si="1"/>
        <v>40.750159564987513</v>
      </c>
      <c r="H39" s="9">
        <f t="shared" si="2"/>
        <v>-9.5287928921141543</v>
      </c>
      <c r="I39" s="2">
        <v>786.31477787359995</v>
      </c>
      <c r="J39" s="1">
        <v>10.433</v>
      </c>
      <c r="K39" s="1">
        <v>36208.2094350716</v>
      </c>
      <c r="L39" s="4">
        <v>27284400</v>
      </c>
      <c r="M39" s="4">
        <v>46423800</v>
      </c>
      <c r="N39" s="1">
        <v>11.17</v>
      </c>
    </row>
    <row r="40" spans="1:14" x14ac:dyDescent="0.35">
      <c r="A40" s="8">
        <v>35247</v>
      </c>
      <c r="B40" s="2">
        <v>204565900</v>
      </c>
      <c r="C40" s="9">
        <v>127813600</v>
      </c>
      <c r="D40" s="9">
        <v>87354000</v>
      </c>
      <c r="E40" s="9">
        <v>-19704000</v>
      </c>
      <c r="F40" s="9">
        <f t="shared" si="0"/>
        <v>62.480403625433176</v>
      </c>
      <c r="G40" s="9">
        <f t="shared" si="1"/>
        <v>42.70213168470405</v>
      </c>
      <c r="H40" s="9">
        <f t="shared" si="2"/>
        <v>-9.6321038843717357</v>
      </c>
      <c r="I40" s="2">
        <v>817.15040851200001</v>
      </c>
      <c r="J40" s="1">
        <v>11.313000000000001</v>
      </c>
      <c r="K40" s="1">
        <v>33793.833602974199</v>
      </c>
      <c r="L40" s="4">
        <v>27951800</v>
      </c>
      <c r="M40" s="4">
        <v>47655800</v>
      </c>
      <c r="N40" s="1">
        <v>13.9766666667</v>
      </c>
    </row>
    <row r="41" spans="1:14" x14ac:dyDescent="0.35">
      <c r="A41" s="8">
        <v>35339</v>
      </c>
      <c r="B41" s="2">
        <v>208158900</v>
      </c>
      <c r="C41" s="9">
        <v>132256900</v>
      </c>
      <c r="D41" s="9">
        <v>87052700</v>
      </c>
      <c r="E41" s="9">
        <v>-19873200</v>
      </c>
      <c r="F41" s="9">
        <f t="shared" si="0"/>
        <v>63.53650984896634</v>
      </c>
      <c r="G41" s="9">
        <f t="shared" si="1"/>
        <v>41.82031131025385</v>
      </c>
      <c r="H41" s="9">
        <f t="shared" si="2"/>
        <v>-9.5471296206888105</v>
      </c>
      <c r="I41" s="2">
        <v>831.70716183570005</v>
      </c>
      <c r="J41" s="1">
        <v>11.34</v>
      </c>
      <c r="K41" s="1">
        <v>33396.683850474699</v>
      </c>
      <c r="L41" s="4">
        <v>29686500</v>
      </c>
      <c r="M41" s="4">
        <v>49559700</v>
      </c>
      <c r="N41" s="1">
        <v>13.766666666700001</v>
      </c>
    </row>
    <row r="42" spans="1:14" x14ac:dyDescent="0.35">
      <c r="A42" s="8">
        <v>35431</v>
      </c>
      <c r="B42" s="2">
        <v>209163500</v>
      </c>
      <c r="C42" s="9">
        <v>131282500</v>
      </c>
      <c r="D42" s="9">
        <v>84253100</v>
      </c>
      <c r="E42" s="9">
        <v>-17607000</v>
      </c>
      <c r="F42" s="9">
        <f t="shared" si="0"/>
        <v>62.76549206721058</v>
      </c>
      <c r="G42" s="9">
        <f t="shared" si="1"/>
        <v>40.280976365379232</v>
      </c>
      <c r="H42" s="9">
        <f t="shared" si="2"/>
        <v>-8.4178166840772892</v>
      </c>
      <c r="I42" s="2">
        <v>866.17463564210004</v>
      </c>
      <c r="J42" s="1">
        <v>11.253</v>
      </c>
      <c r="K42" s="1">
        <v>30715.915311523899</v>
      </c>
      <c r="L42" s="4">
        <v>30607200</v>
      </c>
      <c r="M42" s="4">
        <v>48214200</v>
      </c>
      <c r="N42" s="1">
        <v>12.723333333299999</v>
      </c>
    </row>
    <row r="43" spans="1:14" x14ac:dyDescent="0.35">
      <c r="A43" s="8">
        <v>35521</v>
      </c>
      <c r="B43" s="2">
        <v>216503800</v>
      </c>
      <c r="C43" s="9">
        <v>133964500</v>
      </c>
      <c r="D43" s="9">
        <v>85804900</v>
      </c>
      <c r="E43" s="9">
        <v>-14665400</v>
      </c>
      <c r="F43" s="9">
        <f t="shared" si="0"/>
        <v>61.876281155342305</v>
      </c>
      <c r="G43" s="9">
        <f t="shared" si="1"/>
        <v>39.632052647574781</v>
      </c>
      <c r="H43" s="9">
        <f t="shared" si="2"/>
        <v>-6.7737379205353445</v>
      </c>
      <c r="I43" s="2">
        <v>891.60396825400005</v>
      </c>
      <c r="J43" s="1">
        <v>11.287000000000001</v>
      </c>
      <c r="K43" s="1">
        <v>32464.190986102902</v>
      </c>
      <c r="L43" s="4">
        <v>33831300</v>
      </c>
      <c r="M43" s="4">
        <v>48496700</v>
      </c>
      <c r="N43" s="1">
        <v>12.55</v>
      </c>
    </row>
    <row r="44" spans="1:14" x14ac:dyDescent="0.35">
      <c r="A44" s="8">
        <v>35612</v>
      </c>
      <c r="B44" s="2">
        <v>218621300</v>
      </c>
      <c r="C44" s="9">
        <v>135253900</v>
      </c>
      <c r="D44" s="9">
        <v>85522500</v>
      </c>
      <c r="E44" s="9">
        <v>-14987600</v>
      </c>
      <c r="F44" s="9">
        <f t="shared" si="0"/>
        <v>61.866753148023548</v>
      </c>
      <c r="G44" s="9">
        <f t="shared" si="1"/>
        <v>39.119015393285103</v>
      </c>
      <c r="H44" s="9">
        <f t="shared" si="2"/>
        <v>-6.8555076746867751</v>
      </c>
      <c r="I44" s="2">
        <v>898.85425741890003</v>
      </c>
      <c r="J44" s="1">
        <v>11.367000000000001</v>
      </c>
      <c r="K44" s="1">
        <v>31634.6898794425</v>
      </c>
      <c r="L44" s="4">
        <v>35112000</v>
      </c>
      <c r="M44" s="4">
        <v>50099600</v>
      </c>
      <c r="N44" s="1">
        <v>12.65</v>
      </c>
    </row>
    <row r="45" spans="1:14" x14ac:dyDescent="0.35">
      <c r="A45" s="8">
        <v>35704</v>
      </c>
      <c r="B45" s="2">
        <v>217284700</v>
      </c>
      <c r="C45" s="9">
        <v>133954100</v>
      </c>
      <c r="D45" s="9">
        <v>81630700</v>
      </c>
      <c r="E45" s="9">
        <v>-10283800</v>
      </c>
      <c r="F45" s="9">
        <f t="shared" si="0"/>
        <v>61.649117494236826</v>
      </c>
      <c r="G45" s="9">
        <f t="shared" si="1"/>
        <v>37.568544863029935</v>
      </c>
      <c r="H45" s="9">
        <f t="shared" si="2"/>
        <v>-4.7328689042532677</v>
      </c>
      <c r="I45" s="2">
        <v>1145.3968470632999</v>
      </c>
      <c r="J45" s="1">
        <v>12.893000000000001</v>
      </c>
      <c r="K45" s="1">
        <v>25069.513061381502</v>
      </c>
      <c r="L45" s="4">
        <v>35129800</v>
      </c>
      <c r="M45" s="4">
        <v>45413600</v>
      </c>
      <c r="N45" s="1">
        <v>15.6033333333</v>
      </c>
    </row>
    <row r="46" spans="1:14" x14ac:dyDescent="0.35">
      <c r="A46" s="8">
        <v>35796</v>
      </c>
      <c r="B46" s="2">
        <v>202695900</v>
      </c>
      <c r="C46" s="9">
        <v>115427000</v>
      </c>
      <c r="D46" s="9">
        <v>69888800</v>
      </c>
      <c r="E46" s="9">
        <v>4797600</v>
      </c>
      <c r="F46" s="9">
        <f t="shared" si="0"/>
        <v>56.945897770995856</v>
      </c>
      <c r="G46" s="9">
        <f t="shared" si="1"/>
        <v>34.479631803109982</v>
      </c>
      <c r="H46" s="9">
        <f t="shared" si="2"/>
        <v>2.3668954330107317</v>
      </c>
      <c r="I46" s="2">
        <v>1604.5717171716999</v>
      </c>
      <c r="J46" s="1">
        <v>15.677</v>
      </c>
      <c r="K46" s="1">
        <v>26612.4749988638</v>
      </c>
      <c r="L46" s="4">
        <v>38688000</v>
      </c>
      <c r="M46" s="4">
        <v>33890400</v>
      </c>
      <c r="N46" s="1">
        <v>22.723333333300001</v>
      </c>
    </row>
    <row r="47" spans="1:14" x14ac:dyDescent="0.35">
      <c r="A47" s="8">
        <v>35886</v>
      </c>
      <c r="B47" s="2">
        <v>201114300</v>
      </c>
      <c r="C47" s="9">
        <v>115895400</v>
      </c>
      <c r="D47" s="9">
        <v>65627000</v>
      </c>
      <c r="E47" s="9">
        <v>3056600</v>
      </c>
      <c r="F47" s="9">
        <f t="shared" si="0"/>
        <v>57.626633213053466</v>
      </c>
      <c r="G47" s="9">
        <f t="shared" si="1"/>
        <v>32.631692525096426</v>
      </c>
      <c r="H47" s="9">
        <f t="shared" si="2"/>
        <v>1.5198322545935321</v>
      </c>
      <c r="I47" s="2">
        <v>1392.0863636363999</v>
      </c>
      <c r="J47" s="1">
        <v>14.887</v>
      </c>
      <c r="K47" s="1">
        <v>38336.450502048101</v>
      </c>
      <c r="L47" s="4">
        <v>38591800</v>
      </c>
      <c r="M47" s="4">
        <v>35535200</v>
      </c>
      <c r="N47" s="1">
        <v>18.489999999999998</v>
      </c>
    </row>
    <row r="48" spans="1:14" x14ac:dyDescent="0.35">
      <c r="A48" s="8">
        <v>35977</v>
      </c>
      <c r="B48" s="2">
        <v>205049800</v>
      </c>
      <c r="C48" s="9">
        <v>118573300</v>
      </c>
      <c r="D48" s="9">
        <v>65517800</v>
      </c>
      <c r="E48" s="9">
        <v>2177900</v>
      </c>
      <c r="F48" s="9">
        <f t="shared" si="0"/>
        <v>57.826586517031473</v>
      </c>
      <c r="G48" s="9">
        <f t="shared" si="1"/>
        <v>31.952140406867013</v>
      </c>
      <c r="H48" s="9">
        <f t="shared" si="2"/>
        <v>1.0621322234891231</v>
      </c>
      <c r="I48" s="2">
        <v>1324.5992032122001</v>
      </c>
      <c r="J48" s="1">
        <v>11.927</v>
      </c>
      <c r="K48" s="1">
        <v>44965.806814812102</v>
      </c>
      <c r="L48" s="4">
        <v>37992600</v>
      </c>
      <c r="M48" s="4">
        <v>35814700</v>
      </c>
      <c r="N48" s="1">
        <v>11.84</v>
      </c>
    </row>
    <row r="49" spans="1:14" x14ac:dyDescent="0.35">
      <c r="A49" s="8">
        <v>36069</v>
      </c>
      <c r="B49" s="2">
        <v>210160900</v>
      </c>
      <c r="C49" s="9">
        <v>121369400</v>
      </c>
      <c r="D49" s="9">
        <v>66357900</v>
      </c>
      <c r="E49" s="9">
        <v>-514100</v>
      </c>
      <c r="F49" s="9">
        <f t="shared" si="0"/>
        <v>57.750704341292789</v>
      </c>
      <c r="G49" s="9">
        <f t="shared" si="1"/>
        <v>31.574807683065686</v>
      </c>
      <c r="H49" s="9">
        <f t="shared" si="2"/>
        <v>-0.2446220966887751</v>
      </c>
      <c r="I49" s="2">
        <v>1280.6506493505999</v>
      </c>
      <c r="J49" s="1">
        <v>8.6969999999999992</v>
      </c>
      <c r="K49" s="1">
        <v>50230.655528462703</v>
      </c>
      <c r="L49" s="4">
        <v>39210300</v>
      </c>
      <c r="M49" s="4">
        <v>39724400</v>
      </c>
      <c r="N49" s="1">
        <v>7.8266666667000004</v>
      </c>
    </row>
    <row r="50" spans="1:14" x14ac:dyDescent="0.35">
      <c r="A50" s="8">
        <v>36161</v>
      </c>
      <c r="B50" s="2">
        <v>216688000</v>
      </c>
      <c r="C50" s="9">
        <v>125405900</v>
      </c>
      <c r="D50" s="9">
        <v>69009700</v>
      </c>
      <c r="E50" s="9">
        <v>-906300</v>
      </c>
      <c r="F50" s="9">
        <f t="shared" si="0"/>
        <v>57.873947795909331</v>
      </c>
      <c r="G50" s="9">
        <f t="shared" si="1"/>
        <v>31.84749501587536</v>
      </c>
      <c r="H50" s="9">
        <f t="shared" si="2"/>
        <v>-0.41825112604297421</v>
      </c>
      <c r="I50" s="2">
        <v>1192.054057971</v>
      </c>
      <c r="J50" s="1">
        <v>8.1069999999999993</v>
      </c>
      <c r="K50" s="1">
        <v>55435.7151579438</v>
      </c>
      <c r="L50" s="4">
        <v>40321400</v>
      </c>
      <c r="M50" s="4">
        <v>41227700</v>
      </c>
      <c r="N50" s="1">
        <v>6.7533333332999996</v>
      </c>
    </row>
    <row r="51" spans="1:14" x14ac:dyDescent="0.35">
      <c r="A51" s="8">
        <v>36251</v>
      </c>
      <c r="B51" s="2">
        <v>226088500</v>
      </c>
      <c r="C51" s="9">
        <v>129493600</v>
      </c>
      <c r="D51" s="9">
        <v>72649800</v>
      </c>
      <c r="E51" s="9">
        <v>-1228700</v>
      </c>
      <c r="F51" s="9">
        <f t="shared" si="0"/>
        <v>57.275624368333645</v>
      </c>
      <c r="G51" s="9">
        <f t="shared" si="1"/>
        <v>32.133346012733952</v>
      </c>
      <c r="H51" s="9">
        <f t="shared" si="2"/>
        <v>-0.54345975138054337</v>
      </c>
      <c r="I51" s="2">
        <v>1187.3928715729</v>
      </c>
      <c r="J51" s="1">
        <v>7.8730000000000002</v>
      </c>
      <c r="K51" s="1">
        <v>60819.860373666801</v>
      </c>
      <c r="L51" s="4">
        <v>42740200</v>
      </c>
      <c r="M51" s="4">
        <v>43968900</v>
      </c>
      <c r="N51" s="1">
        <v>6.2033333332999998</v>
      </c>
    </row>
    <row r="52" spans="1:14" x14ac:dyDescent="0.35">
      <c r="A52" s="8">
        <v>36342</v>
      </c>
      <c r="B52" s="2">
        <v>232582600</v>
      </c>
      <c r="C52" s="9">
        <v>134580300</v>
      </c>
      <c r="D52" s="9">
        <v>74511400</v>
      </c>
      <c r="E52" s="9">
        <v>-2088200</v>
      </c>
      <c r="F52" s="9">
        <f t="shared" si="0"/>
        <v>57.86344292307335</v>
      </c>
      <c r="G52" s="9">
        <f t="shared" si="1"/>
        <v>32.036532397522429</v>
      </c>
      <c r="H52" s="9">
        <f t="shared" si="2"/>
        <v>-0.89783156607588011</v>
      </c>
      <c r="I52" s="2">
        <v>1195.1612121211999</v>
      </c>
      <c r="J52" s="1">
        <v>9.1199999999999992</v>
      </c>
      <c r="K52" s="1">
        <v>65003.504568343596</v>
      </c>
      <c r="L52" s="4">
        <v>43661200</v>
      </c>
      <c r="M52" s="4">
        <v>45749400</v>
      </c>
      <c r="N52" s="1">
        <v>7.16</v>
      </c>
    </row>
    <row r="53" spans="1:14" x14ac:dyDescent="0.35">
      <c r="A53" s="8">
        <v>36434</v>
      </c>
      <c r="B53" s="2">
        <v>238809500</v>
      </c>
      <c r="C53" s="9">
        <v>139248700</v>
      </c>
      <c r="D53" s="9">
        <v>77864000</v>
      </c>
      <c r="E53" s="9">
        <v>-3106100</v>
      </c>
      <c r="F53" s="9">
        <f t="shared" si="0"/>
        <v>58.309531237241394</v>
      </c>
      <c r="G53" s="9">
        <f t="shared" si="1"/>
        <v>32.605068056337792</v>
      </c>
      <c r="H53" s="9">
        <f t="shared" si="2"/>
        <v>-1.3006601496171635</v>
      </c>
      <c r="I53" s="2">
        <v>1172.2150793651001</v>
      </c>
      <c r="J53" s="1">
        <v>9.7669999999999995</v>
      </c>
      <c r="K53" s="1">
        <v>69916.073097706307</v>
      </c>
      <c r="L53" s="4">
        <v>46577100</v>
      </c>
      <c r="M53" s="4">
        <v>49683200</v>
      </c>
      <c r="N53" s="1">
        <v>7.12</v>
      </c>
    </row>
    <row r="54" spans="1:14" x14ac:dyDescent="0.35">
      <c r="A54" s="8">
        <v>36526</v>
      </c>
      <c r="B54" s="2">
        <v>243573100</v>
      </c>
      <c r="C54" s="9">
        <v>141914000</v>
      </c>
      <c r="D54" s="9">
        <v>82992200</v>
      </c>
      <c r="E54" s="9">
        <v>-6622900</v>
      </c>
      <c r="F54" s="9">
        <f t="shared" si="0"/>
        <v>58.263412503269038</v>
      </c>
      <c r="G54" s="9">
        <f t="shared" si="1"/>
        <v>34.072810174851</v>
      </c>
      <c r="H54" s="9">
        <f t="shared" si="2"/>
        <v>-2.7190605202298612</v>
      </c>
      <c r="I54" s="2">
        <v>1125.5498757764001</v>
      </c>
      <c r="J54" s="1">
        <v>9.3000000000000007</v>
      </c>
      <c r="K54" s="1">
        <v>79987.399196187107</v>
      </c>
      <c r="L54" s="4">
        <v>47903500</v>
      </c>
      <c r="M54" s="4">
        <v>54526400</v>
      </c>
      <c r="N54" s="1">
        <v>7.1366666667000001</v>
      </c>
    </row>
    <row r="55" spans="1:14" x14ac:dyDescent="0.35">
      <c r="A55" s="8">
        <v>36617</v>
      </c>
      <c r="B55" s="2">
        <v>247325900</v>
      </c>
      <c r="C55" s="9">
        <v>143873500</v>
      </c>
      <c r="D55" s="9">
        <v>85070700</v>
      </c>
      <c r="E55" s="9">
        <v>-4866100</v>
      </c>
      <c r="F55" s="9">
        <f t="shared" si="0"/>
        <v>58.17162699094596</v>
      </c>
      <c r="G55" s="9">
        <f t="shared" si="1"/>
        <v>34.396195465173683</v>
      </c>
      <c r="H55" s="9">
        <f t="shared" si="2"/>
        <v>-1.9674850066248621</v>
      </c>
      <c r="I55" s="2">
        <v>1115.7340645586</v>
      </c>
      <c r="J55" s="1">
        <v>9.0370000000000008</v>
      </c>
      <c r="K55" s="1">
        <v>87135.992085419595</v>
      </c>
      <c r="L55" s="4">
        <v>50258300</v>
      </c>
      <c r="M55" s="4">
        <v>55124400</v>
      </c>
      <c r="N55" s="1">
        <v>7.1233333332999997</v>
      </c>
    </row>
    <row r="56" spans="1:14" x14ac:dyDescent="0.35">
      <c r="A56" s="8">
        <v>36708</v>
      </c>
      <c r="B56" s="2">
        <v>254117200</v>
      </c>
      <c r="C56" s="9">
        <v>144959300</v>
      </c>
      <c r="D56" s="9">
        <v>86371800</v>
      </c>
      <c r="E56" s="9">
        <v>-3554300</v>
      </c>
      <c r="F56" s="9">
        <f t="shared" si="0"/>
        <v>57.044269337140499</v>
      </c>
      <c r="G56" s="9">
        <f t="shared" si="1"/>
        <v>33.988962573174895</v>
      </c>
      <c r="H56" s="9">
        <f t="shared" si="2"/>
        <v>-1.3986853310204896</v>
      </c>
      <c r="I56" s="2">
        <v>1115.2311318151001</v>
      </c>
      <c r="J56" s="1">
        <v>8.1069999999999993</v>
      </c>
      <c r="K56" s="1">
        <v>91373.5818867895</v>
      </c>
      <c r="L56" s="4">
        <v>53094700</v>
      </c>
      <c r="M56" s="4">
        <v>56649000</v>
      </c>
      <c r="N56" s="1">
        <v>7.08</v>
      </c>
    </row>
    <row r="57" spans="1:14" x14ac:dyDescent="0.35">
      <c r="A57" s="8">
        <v>36800</v>
      </c>
      <c r="B57" s="2">
        <v>253273000</v>
      </c>
      <c r="C57" s="9">
        <v>145806900</v>
      </c>
      <c r="D57" s="9">
        <v>82986500</v>
      </c>
      <c r="E57" s="9">
        <v>-3278400</v>
      </c>
      <c r="F57" s="9">
        <f t="shared" si="0"/>
        <v>57.569065790668574</v>
      </c>
      <c r="G57" s="9">
        <f t="shared" si="1"/>
        <v>32.765632341386571</v>
      </c>
      <c r="H57" s="9">
        <f t="shared" si="2"/>
        <v>-1.2944135379610144</v>
      </c>
      <c r="I57" s="2">
        <v>1166.0440909091001</v>
      </c>
      <c r="J57" s="1">
        <v>7.5670000000000002</v>
      </c>
      <c r="K57" s="1">
        <v>94011.356752381995</v>
      </c>
      <c r="L57" s="4">
        <v>51577600</v>
      </c>
      <c r="M57" s="4">
        <v>54856000</v>
      </c>
      <c r="N57" s="1">
        <v>6.9733333333000003</v>
      </c>
    </row>
    <row r="58" spans="1:14" x14ac:dyDescent="0.35">
      <c r="A58" s="8">
        <v>36892</v>
      </c>
      <c r="B58" s="2">
        <v>255820800</v>
      </c>
      <c r="C58" s="9">
        <v>146358900</v>
      </c>
      <c r="D58" s="9">
        <v>84685900</v>
      </c>
      <c r="E58" s="9">
        <v>-2142600</v>
      </c>
      <c r="F58" s="9">
        <f t="shared" si="0"/>
        <v>57.211493357850493</v>
      </c>
      <c r="G58" s="9">
        <f t="shared" si="1"/>
        <v>33.103602209046336</v>
      </c>
      <c r="H58" s="9">
        <f t="shared" si="2"/>
        <v>-0.83753940258180726</v>
      </c>
      <c r="I58" s="2">
        <v>1271.0289393938999</v>
      </c>
      <c r="J58" s="1">
        <v>6.5129999999999999</v>
      </c>
      <c r="K58" s="1">
        <v>95000.216847546995</v>
      </c>
      <c r="L58" s="4">
        <v>51582200</v>
      </c>
      <c r="M58" s="4">
        <v>53724800</v>
      </c>
      <c r="N58" s="1">
        <v>5.9466666666999997</v>
      </c>
    </row>
    <row r="59" spans="1:14" x14ac:dyDescent="0.35">
      <c r="A59" s="8">
        <v>36982</v>
      </c>
      <c r="B59" s="2">
        <v>259678300</v>
      </c>
      <c r="C59" s="9">
        <v>151885400</v>
      </c>
      <c r="D59" s="9">
        <v>84899000</v>
      </c>
      <c r="E59" s="9">
        <v>-2398000</v>
      </c>
      <c r="F59" s="9">
        <f t="shared" si="0"/>
        <v>58.489831456844875</v>
      </c>
      <c r="G59" s="9">
        <f t="shared" si="1"/>
        <v>32.693913969707907</v>
      </c>
      <c r="H59" s="9">
        <f t="shared" si="2"/>
        <v>-0.92345028444810373</v>
      </c>
      <c r="I59" s="2">
        <v>1306.5800172533</v>
      </c>
      <c r="J59" s="1">
        <v>7.3070000000000004</v>
      </c>
      <c r="K59" s="1">
        <v>93721.248182245399</v>
      </c>
      <c r="L59" s="4">
        <v>49585400</v>
      </c>
      <c r="M59" s="4">
        <v>51983400</v>
      </c>
      <c r="N59" s="1">
        <v>5.78</v>
      </c>
    </row>
    <row r="60" spans="1:14" x14ac:dyDescent="0.35">
      <c r="A60" s="8">
        <v>37073</v>
      </c>
      <c r="B60" s="2">
        <v>262985600</v>
      </c>
      <c r="C60" s="9">
        <v>154279600</v>
      </c>
      <c r="D60" s="9">
        <v>88170600</v>
      </c>
      <c r="E60" s="9">
        <v>-4135900</v>
      </c>
      <c r="F60" s="9">
        <f t="shared" si="0"/>
        <v>58.664656924181401</v>
      </c>
      <c r="G60" s="9">
        <f t="shared" si="1"/>
        <v>33.526778652519376</v>
      </c>
      <c r="H60" s="9">
        <f t="shared" si="2"/>
        <v>-1.5726716595889663</v>
      </c>
      <c r="I60" s="2">
        <v>1293.2492490119</v>
      </c>
      <c r="J60" s="1">
        <v>6.2229999999999999</v>
      </c>
      <c r="K60" s="1">
        <v>98655.318841838802</v>
      </c>
      <c r="L60" s="4">
        <v>49460300</v>
      </c>
      <c r="M60" s="4">
        <v>53596200</v>
      </c>
      <c r="N60" s="1">
        <v>4.9666666667000001</v>
      </c>
    </row>
    <row r="61" spans="1:14" x14ac:dyDescent="0.35">
      <c r="A61" s="8">
        <v>37165</v>
      </c>
      <c r="B61" s="2">
        <v>266982900</v>
      </c>
      <c r="C61" s="9">
        <v>157648700</v>
      </c>
      <c r="D61" s="9">
        <v>88059600</v>
      </c>
      <c r="E61" s="9">
        <v>-5308100</v>
      </c>
      <c r="F61" s="9">
        <f t="shared" si="0"/>
        <v>59.048238669967255</v>
      </c>
      <c r="G61" s="9">
        <f t="shared" si="1"/>
        <v>32.983236005002567</v>
      </c>
      <c r="H61" s="9">
        <f t="shared" si="2"/>
        <v>-1.9881797673184314</v>
      </c>
      <c r="I61" s="2">
        <v>1290.7801785976001</v>
      </c>
      <c r="J61" s="1">
        <v>6.6</v>
      </c>
      <c r="K61" s="1">
        <v>101581.2243331498</v>
      </c>
      <c r="L61" s="4">
        <v>48780500</v>
      </c>
      <c r="M61" s="4">
        <v>54088600</v>
      </c>
      <c r="N61" s="1">
        <v>4.5766666667000004</v>
      </c>
    </row>
    <row r="62" spans="1:14" x14ac:dyDescent="0.35">
      <c r="A62" s="8">
        <v>37257</v>
      </c>
      <c r="B62" s="2">
        <v>274419900</v>
      </c>
      <c r="C62" s="9">
        <v>163582300</v>
      </c>
      <c r="D62" s="9">
        <v>91044900</v>
      </c>
      <c r="E62" s="9">
        <v>-4181400</v>
      </c>
      <c r="F62" s="9">
        <f t="shared" si="0"/>
        <v>59.610217772107632</v>
      </c>
      <c r="G62" s="9">
        <f t="shared" si="1"/>
        <v>33.177222205823995</v>
      </c>
      <c r="H62" s="9">
        <f t="shared" si="2"/>
        <v>-1.5237233159840085</v>
      </c>
      <c r="I62" s="2">
        <v>1319.6482467533001</v>
      </c>
      <c r="J62" s="1">
        <v>6.97</v>
      </c>
      <c r="K62" s="1">
        <v>105093.6825956653</v>
      </c>
      <c r="L62" s="4">
        <v>52007000</v>
      </c>
      <c r="M62" s="4">
        <v>56188400</v>
      </c>
      <c r="N62" s="1">
        <v>4.6566666666999996</v>
      </c>
    </row>
    <row r="63" spans="1:14" x14ac:dyDescent="0.35">
      <c r="A63" s="8">
        <v>37347</v>
      </c>
      <c r="B63" s="2">
        <v>279643700</v>
      </c>
      <c r="C63" s="9">
        <v>166927100</v>
      </c>
      <c r="D63" s="9">
        <v>92265300</v>
      </c>
      <c r="E63" s="9">
        <v>-5374000</v>
      </c>
      <c r="F63" s="9">
        <f t="shared" si="0"/>
        <v>59.692780491747179</v>
      </c>
      <c r="G63" s="9">
        <f t="shared" si="1"/>
        <v>32.993877566346029</v>
      </c>
      <c r="H63" s="9">
        <f t="shared" si="2"/>
        <v>-1.9217311171322651</v>
      </c>
      <c r="I63" s="2">
        <v>1267.7890052701</v>
      </c>
      <c r="J63" s="1">
        <v>6.9130000000000003</v>
      </c>
      <c r="K63" s="1">
        <v>109839.3222947256</v>
      </c>
      <c r="L63" s="4">
        <v>54845900</v>
      </c>
      <c r="M63" s="4">
        <v>60219900</v>
      </c>
      <c r="N63" s="1">
        <v>4.8166666666999998</v>
      </c>
    </row>
    <row r="64" spans="1:14" x14ac:dyDescent="0.35">
      <c r="A64" s="8">
        <v>37438</v>
      </c>
      <c r="B64" s="2">
        <v>284837500</v>
      </c>
      <c r="C64" s="9">
        <v>167733000</v>
      </c>
      <c r="D64" s="9">
        <v>93191900</v>
      </c>
      <c r="E64" s="9">
        <v>-5972500</v>
      </c>
      <c r="F64" s="9">
        <f t="shared" si="0"/>
        <v>58.887260279984197</v>
      </c>
      <c r="G64" s="9">
        <f t="shared" si="1"/>
        <v>32.717567033835081</v>
      </c>
      <c r="H64" s="9">
        <f t="shared" si="2"/>
        <v>-2.0968095844121648</v>
      </c>
      <c r="I64" s="2">
        <v>1196.7500298011</v>
      </c>
      <c r="J64" s="1">
        <v>6.1829999999999998</v>
      </c>
      <c r="K64" s="1">
        <v>116172.47476212079</v>
      </c>
      <c r="L64" s="4">
        <v>58035100</v>
      </c>
      <c r="M64" s="4">
        <v>64007600</v>
      </c>
      <c r="N64" s="1">
        <v>4.84</v>
      </c>
    </row>
    <row r="65" spans="1:14" x14ac:dyDescent="0.35">
      <c r="A65" s="8">
        <v>37530</v>
      </c>
      <c r="B65" s="2">
        <v>287527500</v>
      </c>
      <c r="C65" s="9">
        <v>167610300</v>
      </c>
      <c r="D65" s="9">
        <v>96557900</v>
      </c>
      <c r="E65" s="9">
        <v>-6274200</v>
      </c>
      <c r="F65" s="9">
        <f t="shared" si="0"/>
        <v>58.293658867412681</v>
      </c>
      <c r="G65" s="9">
        <f t="shared" si="1"/>
        <v>33.582144316630583</v>
      </c>
      <c r="H65" s="9">
        <f t="shared" si="2"/>
        <v>-2.1821217100972947</v>
      </c>
      <c r="I65" s="2">
        <v>1219.9932290872</v>
      </c>
      <c r="J65" s="1">
        <v>5.8029999999999999</v>
      </c>
      <c r="K65" s="1">
        <v>118844.478493777</v>
      </c>
      <c r="L65" s="4">
        <v>59003800</v>
      </c>
      <c r="M65" s="4">
        <v>65278000</v>
      </c>
      <c r="N65" s="1">
        <v>4.9066666666999996</v>
      </c>
    </row>
    <row r="66" spans="1:14" x14ac:dyDescent="0.35">
      <c r="A66" s="8">
        <v>37622</v>
      </c>
      <c r="B66" s="2">
        <v>285982500</v>
      </c>
      <c r="C66" s="9">
        <v>166599600</v>
      </c>
      <c r="D66" s="9">
        <v>97731700</v>
      </c>
      <c r="E66" s="9">
        <v>-7049400</v>
      </c>
      <c r="F66" s="9">
        <f t="shared" si="0"/>
        <v>58.255172956387192</v>
      </c>
      <c r="G66" s="9">
        <f t="shared" si="1"/>
        <v>34.174014144222106</v>
      </c>
      <c r="H66" s="9">
        <f t="shared" si="2"/>
        <v>-2.4649760037764548</v>
      </c>
      <c r="I66" s="2">
        <v>1202.2997655122999</v>
      </c>
      <c r="J66" s="1">
        <v>5.133</v>
      </c>
      <c r="K66" s="1">
        <v>123503.5596576253</v>
      </c>
      <c r="L66" s="4">
        <v>59105200</v>
      </c>
      <c r="M66" s="4">
        <v>66154600</v>
      </c>
      <c r="N66" s="1">
        <v>4.6666666667000003</v>
      </c>
    </row>
    <row r="67" spans="1:14" x14ac:dyDescent="0.35">
      <c r="A67" s="8">
        <v>37712</v>
      </c>
      <c r="B67" s="2">
        <v>286171600</v>
      </c>
      <c r="C67" s="9">
        <v>165663700</v>
      </c>
      <c r="D67" s="9">
        <v>97271300</v>
      </c>
      <c r="E67" s="9">
        <v>-4763800</v>
      </c>
      <c r="F67" s="9">
        <f t="shared" ref="F67:F85" si="3">100*(C67/B67)</f>
        <v>57.889636847262274</v>
      </c>
      <c r="G67" s="9">
        <f t="shared" ref="G67:G85" si="4">100*(D67/B67)</f>
        <v>33.990549726108391</v>
      </c>
      <c r="H67" s="9">
        <f t="shared" ref="H67:H85" si="5">100*(E67/B67)</f>
        <v>-1.66466553634253</v>
      </c>
      <c r="I67" s="2">
        <v>1205.3787301586999</v>
      </c>
      <c r="J67" s="1">
        <v>4.673</v>
      </c>
      <c r="K67" s="1">
        <v>127805.10936171599</v>
      </c>
      <c r="L67" s="4">
        <v>59842600</v>
      </c>
      <c r="M67" s="4">
        <v>64606400</v>
      </c>
      <c r="N67" s="1">
        <v>4.43</v>
      </c>
    </row>
    <row r="68" spans="1:14" x14ac:dyDescent="0.35">
      <c r="A68" s="8">
        <v>37803</v>
      </c>
      <c r="B68" s="2">
        <v>290747700</v>
      </c>
      <c r="C68" s="9">
        <v>166175300</v>
      </c>
      <c r="D68" s="9">
        <v>97824900</v>
      </c>
      <c r="E68" s="9">
        <v>-4141200</v>
      </c>
      <c r="F68" s="9">
        <f t="shared" si="3"/>
        <v>57.154467601979306</v>
      </c>
      <c r="G68" s="9">
        <f t="shared" si="4"/>
        <v>33.645975531362758</v>
      </c>
      <c r="H68" s="9">
        <f t="shared" si="5"/>
        <v>-1.4243276902964321</v>
      </c>
      <c r="I68" s="2">
        <v>1174.6577652299</v>
      </c>
      <c r="J68" s="1">
        <v>4.8730000000000002</v>
      </c>
      <c r="K68" s="1">
        <v>136809.12544886849</v>
      </c>
      <c r="L68" s="4">
        <v>64011000</v>
      </c>
      <c r="M68" s="4">
        <v>68152200</v>
      </c>
      <c r="N68" s="1">
        <v>3.96</v>
      </c>
    </row>
    <row r="69" spans="1:14" x14ac:dyDescent="0.35">
      <c r="A69" s="8">
        <v>37895</v>
      </c>
      <c r="B69" s="2">
        <v>298161400</v>
      </c>
      <c r="C69" s="9">
        <v>166365000</v>
      </c>
      <c r="D69" s="9">
        <v>101267500</v>
      </c>
      <c r="E69" s="9">
        <v>-1801600</v>
      </c>
      <c r="F69" s="9">
        <f t="shared" si="3"/>
        <v>55.796960974827726</v>
      </c>
      <c r="G69" s="9">
        <f t="shared" si="4"/>
        <v>33.963987290105294</v>
      </c>
      <c r="H69" s="9">
        <f t="shared" si="5"/>
        <v>-0.6042364974138168</v>
      </c>
      <c r="I69" s="2">
        <v>1181.4987004831</v>
      </c>
      <c r="J69" s="1">
        <v>5.0330000000000004</v>
      </c>
      <c r="K69" s="1">
        <v>149600.8533831324</v>
      </c>
      <c r="L69" s="4">
        <v>71031100</v>
      </c>
      <c r="M69" s="4">
        <v>72832700</v>
      </c>
      <c r="N69" s="1">
        <v>4.1666666667000003</v>
      </c>
    </row>
    <row r="70" spans="1:14" x14ac:dyDescent="0.35">
      <c r="A70" s="8">
        <v>37987</v>
      </c>
      <c r="B70" s="2">
        <v>302404300</v>
      </c>
      <c r="C70" s="9">
        <v>166182300</v>
      </c>
      <c r="D70" s="9">
        <v>101417600</v>
      </c>
      <c r="E70" s="9">
        <v>1032900</v>
      </c>
      <c r="F70" s="9">
        <f t="shared" si="3"/>
        <v>54.953682867604726</v>
      </c>
      <c r="G70" s="9">
        <f t="shared" si="4"/>
        <v>33.537089254352537</v>
      </c>
      <c r="H70" s="9">
        <f t="shared" si="5"/>
        <v>0.3415626034418161</v>
      </c>
      <c r="I70" s="2">
        <v>1171.1031055901001</v>
      </c>
      <c r="J70" s="1">
        <v>5.1429999999999998</v>
      </c>
      <c r="K70" s="1">
        <v>161265.7987770981</v>
      </c>
      <c r="L70" s="4">
        <v>75646300</v>
      </c>
      <c r="M70" s="4">
        <v>74613400</v>
      </c>
      <c r="N70" s="1">
        <v>4.09</v>
      </c>
    </row>
    <row r="71" spans="1:14" x14ac:dyDescent="0.35">
      <c r="A71" s="8">
        <v>38078</v>
      </c>
      <c r="B71" s="2">
        <v>304926100</v>
      </c>
      <c r="C71" s="9">
        <v>166656200</v>
      </c>
      <c r="D71" s="9">
        <v>102634800</v>
      </c>
      <c r="E71" s="9">
        <v>2013900</v>
      </c>
      <c r="F71" s="9">
        <f t="shared" si="3"/>
        <v>54.654619594714916</v>
      </c>
      <c r="G71" s="9">
        <f t="shared" si="4"/>
        <v>33.658909486593636</v>
      </c>
      <c r="H71" s="9">
        <f t="shared" si="5"/>
        <v>0.66045510699149723</v>
      </c>
      <c r="I71" s="2">
        <v>1162.1614502165</v>
      </c>
      <c r="J71" s="1">
        <v>4.8369999999999997</v>
      </c>
      <c r="K71" s="1">
        <v>165665.9407646844</v>
      </c>
      <c r="L71" s="4">
        <v>77382300</v>
      </c>
      <c r="M71" s="4">
        <v>75368400</v>
      </c>
      <c r="N71" s="1">
        <v>3.9066666667000001</v>
      </c>
    </row>
    <row r="72" spans="1:14" x14ac:dyDescent="0.35">
      <c r="A72" s="8">
        <v>38169</v>
      </c>
      <c r="B72" s="2">
        <v>305706200</v>
      </c>
      <c r="C72" s="9">
        <v>166926700</v>
      </c>
      <c r="D72" s="9">
        <v>101718500</v>
      </c>
      <c r="E72" s="9">
        <v>2113000</v>
      </c>
      <c r="F72" s="9">
        <f t="shared" si="3"/>
        <v>54.603635778404239</v>
      </c>
      <c r="G72" s="9">
        <f t="shared" si="4"/>
        <v>33.273286573841162</v>
      </c>
      <c r="H72" s="9">
        <f t="shared" si="5"/>
        <v>0.69118650521317526</v>
      </c>
      <c r="I72" s="2">
        <v>1154.1540909091</v>
      </c>
      <c r="J72" s="1">
        <v>4.1829999999999998</v>
      </c>
      <c r="K72" s="1">
        <v>170910.94665923441</v>
      </c>
      <c r="L72" s="4">
        <v>76893000</v>
      </c>
      <c r="M72" s="4">
        <v>74780000</v>
      </c>
      <c r="N72" s="1">
        <v>3.71</v>
      </c>
    </row>
    <row r="73" spans="1:14" x14ac:dyDescent="0.35">
      <c r="A73" s="8">
        <v>38261</v>
      </c>
      <c r="B73" s="2">
        <v>308211900</v>
      </c>
      <c r="C73" s="9">
        <v>168717900</v>
      </c>
      <c r="D73" s="9">
        <v>101504100</v>
      </c>
      <c r="E73" s="9">
        <v>-1101400</v>
      </c>
      <c r="F73" s="9">
        <f t="shared" si="3"/>
        <v>54.740877947931274</v>
      </c>
      <c r="G73" s="9">
        <f t="shared" si="4"/>
        <v>32.933218996411235</v>
      </c>
      <c r="H73" s="9">
        <f t="shared" si="5"/>
        <v>-0.35735154937236363</v>
      </c>
      <c r="I73" s="2">
        <v>1093.3674634544</v>
      </c>
      <c r="J73" s="1">
        <v>3.65</v>
      </c>
      <c r="K73" s="1">
        <v>189949.17352507371</v>
      </c>
      <c r="L73" s="4">
        <v>78525200</v>
      </c>
      <c r="M73" s="4">
        <v>79626600</v>
      </c>
      <c r="N73" s="1">
        <v>3.4433333333</v>
      </c>
    </row>
    <row r="74" spans="1:14" x14ac:dyDescent="0.35">
      <c r="A74" s="8">
        <v>38353</v>
      </c>
      <c r="B74" s="2">
        <v>311097100</v>
      </c>
      <c r="C74" s="9">
        <v>170412200</v>
      </c>
      <c r="D74" s="9">
        <v>101935700</v>
      </c>
      <c r="E74" s="9">
        <v>1039400</v>
      </c>
      <c r="F74" s="9">
        <f t="shared" si="3"/>
        <v>54.777816958113725</v>
      </c>
      <c r="G74" s="9">
        <f t="shared" si="4"/>
        <v>32.766522092298509</v>
      </c>
      <c r="H74" s="9">
        <f t="shared" si="5"/>
        <v>0.33410790393095918</v>
      </c>
      <c r="I74" s="2">
        <v>1022.6233612836</v>
      </c>
      <c r="J74" s="1">
        <v>4.3499999999999996</v>
      </c>
      <c r="K74" s="1">
        <v>202364.59430558869</v>
      </c>
      <c r="L74" s="4">
        <v>79120400</v>
      </c>
      <c r="M74" s="4">
        <v>78081000</v>
      </c>
      <c r="N74" s="1">
        <v>3.5366666667</v>
      </c>
    </row>
    <row r="75" spans="1:14" x14ac:dyDescent="0.35">
      <c r="A75" s="8">
        <v>38443</v>
      </c>
      <c r="B75" s="2">
        <v>316930100</v>
      </c>
      <c r="C75" s="9">
        <v>174504700</v>
      </c>
      <c r="D75" s="9">
        <v>104126900</v>
      </c>
      <c r="E75" s="9">
        <v>-482300</v>
      </c>
      <c r="F75" s="9">
        <f t="shared" si="3"/>
        <v>55.060942460182858</v>
      </c>
      <c r="G75" s="9">
        <f t="shared" si="4"/>
        <v>32.85484717292551</v>
      </c>
      <c r="H75" s="9">
        <f t="shared" si="5"/>
        <v>-0.15217866652615197</v>
      </c>
      <c r="I75" s="2">
        <v>1007.7969408369</v>
      </c>
      <c r="J75" s="1">
        <v>4.1029999999999998</v>
      </c>
      <c r="K75" s="1">
        <v>205745.98370204191</v>
      </c>
      <c r="L75" s="4">
        <v>81724400</v>
      </c>
      <c r="M75" s="4">
        <v>82206700</v>
      </c>
      <c r="N75" s="1">
        <v>3.5133333332999999</v>
      </c>
    </row>
    <row r="76" spans="1:14" x14ac:dyDescent="0.35">
      <c r="A76" s="8">
        <v>38534</v>
      </c>
      <c r="B76" s="2">
        <v>321379300</v>
      </c>
      <c r="C76" s="9">
        <v>176622800</v>
      </c>
      <c r="D76" s="9">
        <v>104117600</v>
      </c>
      <c r="E76" s="9">
        <v>47100</v>
      </c>
      <c r="F76" s="9">
        <f t="shared" si="3"/>
        <v>54.957739966450859</v>
      </c>
      <c r="G76" s="9">
        <f t="shared" si="4"/>
        <v>32.397108338962717</v>
      </c>
      <c r="H76" s="9">
        <f t="shared" si="5"/>
        <v>1.4655579870887763E-2</v>
      </c>
      <c r="I76" s="2">
        <v>1030.0696750110001</v>
      </c>
      <c r="J76" s="1">
        <v>4.7629999999999999</v>
      </c>
      <c r="K76" s="1">
        <v>206302.45962103829</v>
      </c>
      <c r="L76" s="4">
        <v>84095600</v>
      </c>
      <c r="M76" s="4">
        <v>84048500</v>
      </c>
      <c r="N76" s="1">
        <v>3.57</v>
      </c>
    </row>
    <row r="77" spans="1:14" x14ac:dyDescent="0.35">
      <c r="A77" s="8">
        <v>38626</v>
      </c>
      <c r="B77" s="2">
        <v>325066900</v>
      </c>
      <c r="C77" s="9">
        <v>178495700</v>
      </c>
      <c r="D77" s="9">
        <v>104731100</v>
      </c>
      <c r="E77" s="9">
        <v>2911000</v>
      </c>
      <c r="F77" s="9">
        <f t="shared" si="3"/>
        <v>54.910450741062846</v>
      </c>
      <c r="G77" s="9">
        <f t="shared" si="4"/>
        <v>32.218321828522065</v>
      </c>
      <c r="H77" s="9">
        <f t="shared" si="5"/>
        <v>0.8955079708207756</v>
      </c>
      <c r="I77" s="2">
        <v>1036.4128427128001</v>
      </c>
      <c r="J77" s="1">
        <v>5.4329999999999998</v>
      </c>
      <c r="K77" s="1">
        <v>208567.8802721166</v>
      </c>
      <c r="L77" s="4">
        <v>87257300</v>
      </c>
      <c r="M77" s="4">
        <v>84346300</v>
      </c>
      <c r="N77" s="1">
        <v>3.9766666666999999</v>
      </c>
    </row>
    <row r="78" spans="1:14" x14ac:dyDescent="0.35">
      <c r="A78" s="8">
        <v>38718</v>
      </c>
      <c r="B78" s="2">
        <v>330234400</v>
      </c>
      <c r="C78" s="9">
        <v>180254300</v>
      </c>
      <c r="D78" s="9">
        <v>104763800</v>
      </c>
      <c r="E78" s="9">
        <v>-195500</v>
      </c>
      <c r="F78" s="9">
        <f t="shared" si="3"/>
        <v>54.583744152638246</v>
      </c>
      <c r="G78" s="9">
        <f t="shared" si="4"/>
        <v>31.724072355878128</v>
      </c>
      <c r="H78" s="9">
        <f t="shared" si="5"/>
        <v>-5.9200374037350435E-2</v>
      </c>
      <c r="I78" s="2">
        <v>975.76231884059996</v>
      </c>
      <c r="J78" s="1">
        <v>5.2830000000000004</v>
      </c>
      <c r="K78" s="1">
        <v>216668.87357250569</v>
      </c>
      <c r="L78" s="4">
        <v>89704400</v>
      </c>
      <c r="M78" s="4">
        <v>89899900</v>
      </c>
      <c r="N78" s="1">
        <v>4.2233333333000003</v>
      </c>
    </row>
    <row r="79" spans="1:14" x14ac:dyDescent="0.35">
      <c r="A79" s="8">
        <v>38808</v>
      </c>
      <c r="B79" s="2">
        <v>332617800</v>
      </c>
      <c r="C79" s="9">
        <v>182600500</v>
      </c>
      <c r="D79" s="9">
        <v>106553300</v>
      </c>
      <c r="E79" s="9">
        <v>2539700</v>
      </c>
      <c r="F79" s="9">
        <f t="shared" si="3"/>
        <v>54.897994033993371</v>
      </c>
      <c r="G79" s="9">
        <f t="shared" si="4"/>
        <v>32.034755806814907</v>
      </c>
      <c r="H79" s="9">
        <f t="shared" si="5"/>
        <v>0.76354903435715105</v>
      </c>
      <c r="I79" s="2">
        <v>949.75316205529998</v>
      </c>
      <c r="J79" s="1">
        <v>5.14</v>
      </c>
      <c r="K79" s="1">
        <v>224358.54343036181</v>
      </c>
      <c r="L79" s="4">
        <v>93158100</v>
      </c>
      <c r="M79" s="4">
        <v>90618400</v>
      </c>
      <c r="N79" s="1">
        <v>4.3866666667000001</v>
      </c>
    </row>
    <row r="80" spans="1:14" x14ac:dyDescent="0.35">
      <c r="A80" s="8">
        <v>38899</v>
      </c>
      <c r="B80" s="2">
        <v>337830800</v>
      </c>
      <c r="C80" s="9">
        <v>184681300</v>
      </c>
      <c r="D80" s="9">
        <v>109042000</v>
      </c>
      <c r="E80" s="9">
        <v>-1431300</v>
      </c>
      <c r="F80" s="9">
        <f t="shared" si="3"/>
        <v>54.666803618852988</v>
      </c>
      <c r="G80" s="9">
        <f t="shared" si="4"/>
        <v>32.277104396638791</v>
      </c>
      <c r="H80" s="9">
        <f t="shared" si="5"/>
        <v>-0.42367362596897618</v>
      </c>
      <c r="I80" s="2">
        <v>955.16356107659999</v>
      </c>
      <c r="J80" s="1">
        <v>4.9429999999999996</v>
      </c>
      <c r="K80" s="1">
        <v>226914.44740378711</v>
      </c>
      <c r="L80" s="4">
        <v>95834700</v>
      </c>
      <c r="M80" s="4">
        <v>97266000</v>
      </c>
      <c r="N80" s="1">
        <v>4.6500000000000004</v>
      </c>
    </row>
    <row r="81" spans="1:14" x14ac:dyDescent="0.35">
      <c r="A81" s="8">
        <v>38991</v>
      </c>
      <c r="B81" s="2">
        <v>340636500</v>
      </c>
      <c r="C81" s="9">
        <v>187419100</v>
      </c>
      <c r="D81" s="9">
        <v>111601600</v>
      </c>
      <c r="E81" s="9">
        <v>2362500</v>
      </c>
      <c r="F81" s="9">
        <f t="shared" si="3"/>
        <v>55.020263536056767</v>
      </c>
      <c r="G81" s="9">
        <f t="shared" si="4"/>
        <v>32.762666361355876</v>
      </c>
      <c r="H81" s="9">
        <f t="shared" si="5"/>
        <v>0.69355456623115841</v>
      </c>
      <c r="I81" s="2">
        <v>938.31313131310003</v>
      </c>
      <c r="J81" s="1">
        <v>4.8970000000000002</v>
      </c>
      <c r="K81" s="1">
        <v>234150.43166730821</v>
      </c>
      <c r="L81" s="4">
        <v>94720500</v>
      </c>
      <c r="M81" s="4">
        <v>92358000</v>
      </c>
      <c r="N81" s="1">
        <v>4.6433333333000002</v>
      </c>
    </row>
    <row r="82" spans="1:14" x14ac:dyDescent="0.35">
      <c r="A82" s="8">
        <v>39083</v>
      </c>
      <c r="B82" s="2">
        <v>346675000</v>
      </c>
      <c r="C82" s="9">
        <v>189788200</v>
      </c>
      <c r="D82" s="9">
        <v>112101000</v>
      </c>
      <c r="E82" s="9">
        <v>1058300</v>
      </c>
      <c r="F82" s="9">
        <f t="shared" si="3"/>
        <v>54.745280161534581</v>
      </c>
      <c r="G82" s="9">
        <f t="shared" si="4"/>
        <v>32.336049614191964</v>
      </c>
      <c r="H82" s="9">
        <f t="shared" si="5"/>
        <v>0.3052715078964448</v>
      </c>
      <c r="I82" s="2">
        <v>939.14222661400004</v>
      </c>
      <c r="J82" s="1">
        <v>5.0330000000000004</v>
      </c>
      <c r="K82" s="1">
        <v>242244.00867131859</v>
      </c>
      <c r="L82" s="4">
        <v>100627700</v>
      </c>
      <c r="M82" s="4">
        <v>99569400</v>
      </c>
      <c r="N82" s="1">
        <v>4.9366666666999999</v>
      </c>
    </row>
    <row r="83" spans="1:14" x14ac:dyDescent="0.35">
      <c r="A83" s="8">
        <v>39173</v>
      </c>
      <c r="B83" s="2">
        <v>352543600</v>
      </c>
      <c r="C83" s="9">
        <v>192893600</v>
      </c>
      <c r="D83" s="9">
        <v>112311700</v>
      </c>
      <c r="E83" s="9">
        <v>-225900</v>
      </c>
      <c r="F83" s="9">
        <f t="shared" si="3"/>
        <v>54.71482108879583</v>
      </c>
      <c r="G83" s="9">
        <f t="shared" si="4"/>
        <v>31.857534784350079</v>
      </c>
      <c r="H83" s="9">
        <f t="shared" si="5"/>
        <v>-6.40771808082745E-2</v>
      </c>
      <c r="I83" s="2">
        <v>929.21532091100005</v>
      </c>
      <c r="J83" s="1">
        <v>5.2569999999999997</v>
      </c>
      <c r="K83" s="1">
        <v>249493.2833971949</v>
      </c>
      <c r="L83" s="4">
        <v>104246200</v>
      </c>
      <c r="M83" s="4">
        <v>104472100</v>
      </c>
      <c r="N83" s="1">
        <v>5.0066666667000002</v>
      </c>
    </row>
    <row r="84" spans="1:14" x14ac:dyDescent="0.35">
      <c r="A84" s="8">
        <v>39264</v>
      </c>
      <c r="B84" s="2">
        <v>356718200</v>
      </c>
      <c r="C84" s="9">
        <v>195052300</v>
      </c>
      <c r="D84" s="9">
        <v>111121400</v>
      </c>
      <c r="E84" s="9">
        <v>3096300</v>
      </c>
      <c r="F84" s="9">
        <f t="shared" si="3"/>
        <v>54.679660303287022</v>
      </c>
      <c r="G84" s="9">
        <f t="shared" si="4"/>
        <v>31.151031822878679</v>
      </c>
      <c r="H84" s="9">
        <f t="shared" si="5"/>
        <v>0.86799608206141432</v>
      </c>
      <c r="I84" s="2">
        <v>927.39393939390004</v>
      </c>
      <c r="J84" s="1">
        <v>5.5229999999999997</v>
      </c>
      <c r="K84" s="1">
        <v>255737.4563798114</v>
      </c>
      <c r="L84" s="4">
        <v>105618400</v>
      </c>
      <c r="M84" s="4">
        <v>102522100</v>
      </c>
      <c r="N84" s="1">
        <v>5.2</v>
      </c>
    </row>
    <row r="85" spans="1:14" x14ac:dyDescent="0.35">
      <c r="A85" s="8">
        <v>39356</v>
      </c>
      <c r="B85" s="2">
        <v>363742300</v>
      </c>
      <c r="C85" s="9">
        <v>197050800</v>
      </c>
      <c r="D85" s="9">
        <v>117981200</v>
      </c>
      <c r="E85" s="9">
        <v>5486600</v>
      </c>
      <c r="F85" s="9">
        <f t="shared" si="3"/>
        <v>54.173187996007066</v>
      </c>
      <c r="G85" s="9">
        <f t="shared" si="4"/>
        <v>32.435380762699303</v>
      </c>
      <c r="H85" s="9">
        <f t="shared" si="5"/>
        <v>1.5083755724863455</v>
      </c>
      <c r="I85" s="2">
        <v>922.04993412379997</v>
      </c>
      <c r="J85" s="1">
        <v>5.9029999999999996</v>
      </c>
      <c r="K85" s="1">
        <v>261356.2431691268</v>
      </c>
      <c r="L85" s="4">
        <v>111601800</v>
      </c>
      <c r="M85" s="4">
        <v>106115200</v>
      </c>
      <c r="N85" s="1">
        <v>5.5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DDA3B-6904-4D4E-9FEF-70E065C88BC5}">
  <dimension ref="A1:J22"/>
  <sheetViews>
    <sheetView tabSelected="1" workbookViewId="0">
      <selection activeCell="G7" sqref="G7"/>
    </sheetView>
  </sheetViews>
  <sheetFormatPr defaultRowHeight="14.5" x14ac:dyDescent="0.35"/>
  <cols>
    <col min="1" max="1" width="16" style="3" bestFit="1" customWidth="1"/>
    <col min="2" max="2" width="16.26953125" style="3" bestFit="1" customWidth="1"/>
    <col min="3" max="3" width="12.6328125" style="3" bestFit="1" customWidth="1"/>
    <col min="4" max="4" width="15.7265625" style="3" bestFit="1" customWidth="1"/>
    <col min="5" max="5" width="14.81640625" style="3" bestFit="1" customWidth="1"/>
    <col min="6" max="6" width="11.6328125" style="4" bestFit="1" customWidth="1"/>
    <col min="7" max="7" width="15.90625" style="4" bestFit="1" customWidth="1"/>
    <col min="8" max="8" width="9.453125" style="4" bestFit="1" customWidth="1"/>
    <col min="9" max="9" width="9.81640625" style="4" bestFit="1" customWidth="1"/>
    <col min="10" max="10" width="18.7265625" style="4" bestFit="1" customWidth="1"/>
    <col min="11" max="16384" width="8.7265625" style="4"/>
  </cols>
  <sheetData>
    <row r="1" spans="1:10" s="10" customFormat="1" ht="14.5" customHeight="1" x14ac:dyDescent="0.35">
      <c r="A1" s="10" t="s">
        <v>1</v>
      </c>
      <c r="B1" s="10" t="s">
        <v>16</v>
      </c>
      <c r="C1" s="10" t="s">
        <v>9</v>
      </c>
      <c r="D1" s="11" t="s">
        <v>17</v>
      </c>
      <c r="E1" s="10" t="s">
        <v>18</v>
      </c>
      <c r="F1" s="10" t="s">
        <v>11</v>
      </c>
      <c r="G1" s="10" t="s">
        <v>12</v>
      </c>
      <c r="H1" s="10" t="s">
        <v>19</v>
      </c>
      <c r="I1" s="10" t="s">
        <v>0</v>
      </c>
      <c r="J1" s="10" t="s">
        <v>20</v>
      </c>
    </row>
    <row r="2" spans="1:10" x14ac:dyDescent="0.35">
      <c r="A2" s="3">
        <v>1987</v>
      </c>
      <c r="B2" s="3">
        <v>8.6310000000000002</v>
      </c>
      <c r="C2" s="3">
        <v>5.6689999999999996</v>
      </c>
      <c r="D2" s="2">
        <v>1.3687034848436452</v>
      </c>
      <c r="F2" s="13">
        <v>12.425000000000001</v>
      </c>
      <c r="H2" s="4">
        <v>-2118425</v>
      </c>
      <c r="I2" s="14">
        <v>93737675</v>
      </c>
      <c r="J2" s="1">
        <f>100*(H2/I2)</f>
        <v>-2.2599504414847074</v>
      </c>
    </row>
    <row r="3" spans="1:10" x14ac:dyDescent="0.35">
      <c r="A3" s="3">
        <v>1988</v>
      </c>
      <c r="B3" s="3">
        <v>12.757999999999999</v>
      </c>
      <c r="C3" s="3">
        <v>6.2089999999999996</v>
      </c>
      <c r="D3" s="2">
        <v>2.2860899146575226</v>
      </c>
      <c r="F3" s="13">
        <v>13.038</v>
      </c>
      <c r="H3" s="4">
        <v>-2680350</v>
      </c>
      <c r="I3" s="14">
        <v>105111050</v>
      </c>
      <c r="J3" s="1">
        <f t="shared" ref="J3:J22" si="0">100*(H3/I3)</f>
        <v>-2.5500173388050067</v>
      </c>
    </row>
    <row r="4" spans="1:10" x14ac:dyDescent="0.35">
      <c r="A4" s="3">
        <v>1989</v>
      </c>
      <c r="B4" s="3">
        <v>3.766</v>
      </c>
      <c r="C4" s="3">
        <v>1.4810000000000001</v>
      </c>
      <c r="D4" s="2">
        <v>1.2805462414269011</v>
      </c>
      <c r="F4" s="13">
        <v>14.742000000000001</v>
      </c>
      <c r="H4" s="4">
        <v>-5547925</v>
      </c>
      <c r="I4" s="14">
        <v>112642250</v>
      </c>
      <c r="J4" s="1">
        <f t="shared" si="0"/>
        <v>-4.9252611697653412</v>
      </c>
    </row>
    <row r="5" spans="1:10" x14ac:dyDescent="0.35">
      <c r="A5" s="3">
        <v>1990</v>
      </c>
      <c r="B5" s="3">
        <v>-2.8039999999999998</v>
      </c>
      <c r="C5" s="3">
        <v>-0.96</v>
      </c>
      <c r="D5" s="2">
        <v>1.4924102352735149</v>
      </c>
      <c r="E5" s="12">
        <v>12.787000000000001</v>
      </c>
      <c r="F5" s="13">
        <v>15.025</v>
      </c>
      <c r="H5" s="4">
        <v>-7281050</v>
      </c>
      <c r="I5" s="14">
        <v>123934575</v>
      </c>
      <c r="J5" s="1">
        <f t="shared" si="0"/>
        <v>-5.8749142440678881</v>
      </c>
    </row>
    <row r="6" spans="1:10" x14ac:dyDescent="0.35">
      <c r="A6" s="3">
        <v>1991</v>
      </c>
      <c r="B6" s="3">
        <v>-8.0340000000000007</v>
      </c>
      <c r="C6" s="3">
        <v>-2.3570000000000002</v>
      </c>
      <c r="D6" s="2">
        <v>0.47966734529527943</v>
      </c>
      <c r="E6" s="12">
        <v>11.926</v>
      </c>
      <c r="F6" s="13">
        <v>16.457999999999998</v>
      </c>
      <c r="G6" s="1">
        <v>18.3008333334</v>
      </c>
      <c r="H6" s="4">
        <v>-9709325</v>
      </c>
      <c r="I6" s="14">
        <v>137412400</v>
      </c>
      <c r="J6" s="1">
        <f t="shared" si="0"/>
        <v>-7.0658288480515585</v>
      </c>
    </row>
    <row r="7" spans="1:10" x14ac:dyDescent="0.35">
      <c r="A7" s="3">
        <v>1992</v>
      </c>
      <c r="B7" s="3">
        <v>-2.9009999999999998</v>
      </c>
      <c r="C7" s="3">
        <v>-0.79100000000000004</v>
      </c>
      <c r="D7" s="2">
        <v>1.0574736399646134</v>
      </c>
      <c r="E7" s="12">
        <v>11.645</v>
      </c>
      <c r="F7" s="13">
        <v>15.083</v>
      </c>
      <c r="G7" s="1">
        <v>16.412500000000001</v>
      </c>
      <c r="H7" s="4">
        <v>-9097475</v>
      </c>
      <c r="I7" s="14">
        <v>146140275</v>
      </c>
      <c r="J7" s="1">
        <f t="shared" si="0"/>
        <v>-6.2251661973401928</v>
      </c>
    </row>
    <row r="8" spans="1:10" x14ac:dyDescent="0.35">
      <c r="A8" s="3">
        <v>1993</v>
      </c>
      <c r="B8" s="3">
        <v>1.6879999999999999</v>
      </c>
      <c r="C8" s="3">
        <v>0.41599999999999998</v>
      </c>
      <c r="D8" s="2">
        <v>1.7626404968803719</v>
      </c>
      <c r="E8" s="12">
        <v>10.862</v>
      </c>
      <c r="F8" s="13">
        <v>12.081</v>
      </c>
      <c r="G8" s="1">
        <v>12.961666666699999</v>
      </c>
      <c r="H8" s="4">
        <v>-9252700</v>
      </c>
      <c r="I8" s="14">
        <v>156362375</v>
      </c>
      <c r="J8" s="1">
        <f t="shared" si="0"/>
        <v>-5.9174721540268242</v>
      </c>
    </row>
    <row r="9" spans="1:10" x14ac:dyDescent="0.35">
      <c r="A9" s="3">
        <v>1994</v>
      </c>
      <c r="B9" s="3">
        <v>-4.7939999999999996</v>
      </c>
      <c r="C9" s="3">
        <v>-1.0009999999999999</v>
      </c>
      <c r="D9" s="2">
        <v>1.8758607218868948</v>
      </c>
      <c r="E9" s="12">
        <v>9.6310000000000002</v>
      </c>
      <c r="F9" s="13">
        <v>12.3</v>
      </c>
      <c r="G9" s="1">
        <v>13.2875</v>
      </c>
      <c r="H9" s="4">
        <v>-12728625</v>
      </c>
      <c r="I9" s="14">
        <v>171016400</v>
      </c>
      <c r="J9" s="1">
        <f t="shared" si="0"/>
        <v>-7.4429265263448423</v>
      </c>
    </row>
    <row r="10" spans="1:10" x14ac:dyDescent="0.35">
      <c r="A10" s="3">
        <v>1995</v>
      </c>
      <c r="B10" s="3">
        <v>-10.23</v>
      </c>
      <c r="C10" s="3">
        <v>-1.7450000000000001</v>
      </c>
      <c r="D10" s="2">
        <v>2.1599466238643252</v>
      </c>
      <c r="E10" s="12">
        <v>8.4849999999999994</v>
      </c>
      <c r="F10" s="13">
        <v>12.4</v>
      </c>
      <c r="G10" s="1">
        <v>14.0541666667</v>
      </c>
      <c r="H10" s="4">
        <v>-15519775</v>
      </c>
      <c r="I10" s="14">
        <v>187666375</v>
      </c>
      <c r="J10" s="1">
        <f t="shared" si="0"/>
        <v>-8.269875197408167</v>
      </c>
    </row>
    <row r="11" spans="1:10" x14ac:dyDescent="0.35">
      <c r="A11" s="3">
        <v>1996</v>
      </c>
      <c r="B11" s="3">
        <v>-24.460999999999999</v>
      </c>
      <c r="C11" s="3">
        <v>-3.875</v>
      </c>
      <c r="D11" s="2">
        <v>2.2986857787920636</v>
      </c>
      <c r="E11" s="12">
        <v>7.8109999999999999</v>
      </c>
      <c r="F11" s="13">
        <v>10.897</v>
      </c>
      <c r="G11" s="1">
        <v>12.634166666700001</v>
      </c>
      <c r="H11" s="4">
        <v>-18797975</v>
      </c>
      <c r="I11" s="14">
        <v>202661700</v>
      </c>
      <c r="J11" s="1">
        <f t="shared" si="0"/>
        <v>-9.2755439236915507</v>
      </c>
    </row>
    <row r="12" spans="1:10" x14ac:dyDescent="0.35">
      <c r="A12" s="3">
        <v>1997</v>
      </c>
      <c r="B12" s="3">
        <v>-10.811999999999999</v>
      </c>
      <c r="C12" s="3">
        <v>-1.8320000000000001</v>
      </c>
      <c r="D12" s="2">
        <v>2.3148891529379023</v>
      </c>
      <c r="E12" s="12">
        <v>9.6940000000000008</v>
      </c>
      <c r="F12" s="13">
        <v>11.7</v>
      </c>
      <c r="G12" s="1">
        <v>13.381666666699999</v>
      </c>
      <c r="H12" s="4">
        <v>-14385950</v>
      </c>
      <c r="I12" s="14">
        <v>215393325</v>
      </c>
      <c r="J12" s="1">
        <f t="shared" si="0"/>
        <v>-6.6789209925609345</v>
      </c>
    </row>
    <row r="13" spans="1:10" x14ac:dyDescent="0.35">
      <c r="A13" s="3">
        <v>1998</v>
      </c>
      <c r="B13" s="3">
        <v>40.113</v>
      </c>
      <c r="C13" s="3">
        <v>10.109</v>
      </c>
      <c r="D13" s="2">
        <v>1.090699332186156</v>
      </c>
      <c r="E13" s="12">
        <v>13.817</v>
      </c>
      <c r="F13" s="13">
        <v>12.797000000000001</v>
      </c>
      <c r="G13" s="1">
        <v>15.22</v>
      </c>
      <c r="H13" s="4">
        <v>2379500</v>
      </c>
      <c r="I13" s="14">
        <v>204755225</v>
      </c>
      <c r="J13" s="1">
        <f t="shared" si="0"/>
        <v>1.1621193061129453</v>
      </c>
    </row>
    <row r="14" spans="1:10" x14ac:dyDescent="0.35">
      <c r="A14" s="3">
        <v>1999</v>
      </c>
      <c r="B14" s="3">
        <v>21.785</v>
      </c>
      <c r="C14" s="3">
        <v>4.2270000000000003</v>
      </c>
      <c r="D14" s="2">
        <v>1.1453493104286905</v>
      </c>
      <c r="E14" s="12">
        <v>15.759</v>
      </c>
      <c r="F14" s="13">
        <v>8.7170000000000005</v>
      </c>
      <c r="G14" s="1">
        <v>6.8091666667000004</v>
      </c>
      <c r="H14" s="4">
        <v>-1832325</v>
      </c>
      <c r="I14" s="14">
        <v>228542150</v>
      </c>
      <c r="J14" s="1">
        <f t="shared" si="0"/>
        <v>-0.8017448860089923</v>
      </c>
    </row>
    <row r="15" spans="1:10" x14ac:dyDescent="0.35">
      <c r="A15" s="3">
        <v>2000</v>
      </c>
      <c r="B15" s="3">
        <v>10.180999999999999</v>
      </c>
      <c r="C15" s="3">
        <v>1.7030000000000001</v>
      </c>
      <c r="D15" s="2">
        <v>3.9051817242500952</v>
      </c>
      <c r="E15" s="12">
        <v>16.087</v>
      </c>
      <c r="F15" s="13">
        <v>8.5030000000000001</v>
      </c>
      <c r="G15" s="1">
        <v>7.0783333332999998</v>
      </c>
      <c r="H15" s="4">
        <v>-4580425</v>
      </c>
      <c r="I15" s="14">
        <v>249572300</v>
      </c>
      <c r="J15" s="1">
        <f t="shared" si="0"/>
        <v>-1.8353098480881089</v>
      </c>
    </row>
    <row r="16" spans="1:10" x14ac:dyDescent="0.35">
      <c r="A16" s="3">
        <v>2001</v>
      </c>
      <c r="B16" s="3">
        <v>2.165</v>
      </c>
      <c r="C16" s="3">
        <v>0.38100000000000001</v>
      </c>
      <c r="D16" s="2">
        <v>2.4199005053887341</v>
      </c>
      <c r="E16" s="12">
        <v>16.625</v>
      </c>
      <c r="F16" s="13">
        <v>6.6609999999999996</v>
      </c>
      <c r="G16" s="1">
        <v>5.3174999999999999</v>
      </c>
      <c r="H16" s="4">
        <v>-3496150</v>
      </c>
      <c r="I16" s="14">
        <v>261366900</v>
      </c>
      <c r="J16" s="1">
        <f t="shared" si="0"/>
        <v>-1.3376406882432321</v>
      </c>
    </row>
    <row r="17" spans="1:10" x14ac:dyDescent="0.35">
      <c r="A17" s="3">
        <v>2002</v>
      </c>
      <c r="B17" s="3">
        <v>4.0659999999999998</v>
      </c>
      <c r="C17" s="3">
        <v>0.626</v>
      </c>
      <c r="D17" s="2">
        <v>3.228798559415385</v>
      </c>
      <c r="E17" s="12">
        <v>16.443999999999999</v>
      </c>
      <c r="F17" s="13">
        <v>6.468</v>
      </c>
      <c r="G17" s="1">
        <v>4.8049999999999997</v>
      </c>
      <c r="H17" s="4">
        <v>-5450525</v>
      </c>
      <c r="I17" s="14">
        <v>281607150</v>
      </c>
      <c r="J17" s="1">
        <f t="shared" si="0"/>
        <v>-1.9355066091184119</v>
      </c>
    </row>
    <row r="18" spans="1:10" x14ac:dyDescent="0.35">
      <c r="A18" s="3">
        <v>2003</v>
      </c>
      <c r="B18" s="3">
        <v>11.308</v>
      </c>
      <c r="C18" s="3">
        <v>1.552</v>
      </c>
      <c r="D18" s="2">
        <v>1.5085415383708021</v>
      </c>
      <c r="E18" s="12">
        <v>19.102</v>
      </c>
      <c r="F18" s="13">
        <v>4.9279999999999999</v>
      </c>
      <c r="G18" s="1">
        <v>4.3058333333999999</v>
      </c>
      <c r="H18" s="4">
        <v>-4439000</v>
      </c>
      <c r="I18" s="14">
        <v>290265800</v>
      </c>
      <c r="J18" s="1">
        <f t="shared" si="0"/>
        <v>-1.5292879836343103</v>
      </c>
    </row>
    <row r="19" spans="1:10" x14ac:dyDescent="0.35">
      <c r="A19" s="3">
        <v>2004</v>
      </c>
      <c r="B19" s="3">
        <v>29.29</v>
      </c>
      <c r="C19" s="3">
        <v>3.5609999999999999</v>
      </c>
      <c r="D19" s="2">
        <v>8.6273484166101644E-2</v>
      </c>
      <c r="E19" s="12">
        <v>21.603000000000002</v>
      </c>
      <c r="F19" s="13">
        <v>4.4530000000000003</v>
      </c>
      <c r="G19" s="1">
        <v>3.7875000000000001</v>
      </c>
      <c r="H19" s="4">
        <v>1014600</v>
      </c>
      <c r="I19" s="14">
        <v>305312125</v>
      </c>
      <c r="J19" s="1">
        <f t="shared" si="0"/>
        <v>0.33231565893427917</v>
      </c>
    </row>
    <row r="20" spans="1:10" x14ac:dyDescent="0.35">
      <c r="A20" s="3">
        <v>2005</v>
      </c>
      <c r="B20" s="3">
        <v>12.209</v>
      </c>
      <c r="C20" s="3">
        <v>1.2569999999999999</v>
      </c>
      <c r="D20" s="2">
        <v>0.79187037864175713</v>
      </c>
      <c r="E20" s="12">
        <v>24.917000000000002</v>
      </c>
      <c r="F20" s="13">
        <v>4.6630000000000003</v>
      </c>
      <c r="G20" s="1">
        <v>3.6491666666999998</v>
      </c>
      <c r="H20" s="4">
        <v>878800</v>
      </c>
      <c r="I20" s="14">
        <v>318618350</v>
      </c>
      <c r="J20" s="1">
        <f t="shared" si="0"/>
        <v>0.27581587815014424</v>
      </c>
    </row>
    <row r="21" spans="1:10" x14ac:dyDescent="0.35">
      <c r="A21" s="3">
        <v>2006</v>
      </c>
      <c r="B21" s="3">
        <v>2.0950000000000002</v>
      </c>
      <c r="C21" s="3">
        <v>0.191</v>
      </c>
      <c r="D21" s="2">
        <v>0.99299659775728932</v>
      </c>
      <c r="E21" s="12">
        <v>27.042999999999999</v>
      </c>
      <c r="F21" s="13">
        <v>5.0659999999999998</v>
      </c>
      <c r="G21" s="1">
        <v>4.4758333332999998</v>
      </c>
      <c r="H21" s="4">
        <v>818850</v>
      </c>
      <c r="I21" s="14">
        <v>335329875</v>
      </c>
      <c r="J21" s="1">
        <f t="shared" si="0"/>
        <v>0.24419237922061074</v>
      </c>
    </row>
    <row r="22" spans="1:10" x14ac:dyDescent="0.35">
      <c r="A22" s="3">
        <v>2007</v>
      </c>
      <c r="B22" s="3">
        <v>10.473000000000001</v>
      </c>
      <c r="C22" s="3">
        <v>0.85799999999999998</v>
      </c>
      <c r="D22" s="2">
        <v>1.9928868169012446</v>
      </c>
      <c r="E22" s="12">
        <v>26.346</v>
      </c>
      <c r="F22" s="13">
        <v>5.4290000000000003</v>
      </c>
      <c r="G22" s="1">
        <v>5.1608333334000003</v>
      </c>
      <c r="H22" s="4">
        <v>2353825</v>
      </c>
      <c r="I22" s="14">
        <v>354919775</v>
      </c>
      <c r="J22" s="1">
        <f t="shared" si="0"/>
        <v>0.66319916944610935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Quarterly Data</vt:lpstr>
      <vt:lpstr>All Yearly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P</cp:lastModifiedBy>
  <dcterms:created xsi:type="dcterms:W3CDTF">2026-05-17T15:12:22Z</dcterms:created>
  <dcterms:modified xsi:type="dcterms:W3CDTF">2026-06-02T11:09:59Z</dcterms:modified>
</cp:coreProperties>
</file>